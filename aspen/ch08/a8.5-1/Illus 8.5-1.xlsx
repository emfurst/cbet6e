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91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50" i="1" l="1"/>
  <c r="J46" i="1"/>
  <c r="J23" i="1"/>
  <c r="J26" i="1" s="1"/>
</calcChain>
</file>

<file path=xl/sharedStrings.xml><?xml version="1.0" encoding="utf-8"?>
<sst xmlns="http://schemas.openxmlformats.org/spreadsheetml/2006/main" count="60" uniqueCount="29">
  <si>
    <t>B1</t>
  </si>
  <si>
    <t>MIXED</t>
  </si>
  <si>
    <t>LIQUID</t>
  </si>
  <si>
    <t xml:space="preserve">Substream: MIXED          </t>
  </si>
  <si>
    <t xml:space="preserve"> </t>
  </si>
  <si>
    <t xml:space="preserve">Mole Flow   kmol/hr       </t>
  </si>
  <si>
    <t xml:space="preserve">  C6H6                    </t>
  </si>
  <si>
    <t xml:space="preserve">  H2                      </t>
  </si>
  <si>
    <t xml:space="preserve">  C6H12-01                </t>
  </si>
  <si>
    <t xml:space="preserve">Total Flow  kmol/hr       </t>
  </si>
  <si>
    <t xml:space="preserve">Total Flow  kg/hr         </t>
  </si>
  <si>
    <t xml:space="preserve">Total Flow  cum/hr        </t>
  </si>
  <si>
    <t xml:space="preserve">Temperature C             </t>
  </si>
  <si>
    <t xml:space="preserve">Pressure    bar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</si>
  <si>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</si>
  <si>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</si>
  <si>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</si>
  <si>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kcal/mol      </t>
  </si>
  <si>
    <t xml:space="preserve">Enthalpy    kcal/kg       </t>
  </si>
  <si>
    <t xml:space="preserve">Enthalpy    Gcal/hr       </t>
  </si>
  <si>
    <t xml:space="preserve">Entropy     cal/mol-K     </t>
  </si>
  <si>
    <t xml:space="preserve">Entropy     cal/gm-K      </t>
  </si>
  <si>
    <t xml:space="preserve">Density     kmol/cum      </t>
  </si>
  <si>
    <t xml:space="preserve">Density     kg/cum        </t>
  </si>
  <si>
    <t xml:space="preserve">Average MW                </t>
  </si>
  <si>
    <t xml:space="preserve">Liq Vol 60F cum/hr        </t>
  </si>
  <si>
    <t>VAPOR</t>
  </si>
  <si>
    <t xml:space="preserve">Enthalpy change  kcal/mol  BZ= </t>
  </si>
  <si>
    <t xml:space="preserve">Enthalpy change  kJ/mol  BZ=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</si>
</sst>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10</xdr:col>
      <xdr:colOff>194582</xdr:colOff>
      <xdr:row>9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762000"/>
          <a:ext cx="2632982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123825</xdr:colOff>
      <xdr:row>21</xdr:row>
      <xdr:rowOff>171450</xdr:rowOff>
    </xdr:from>
    <xdr:ext cx="2000997" cy="264560"/>
    <xdr:sp macro="" textlink="">
      <xdr:nvSpPr>
        <xdr:cNvPr id="3" name="TextBox 2"/>
        <xdr:cNvSpPr txBox="1"/>
      </xdr:nvSpPr>
      <xdr:spPr>
        <a:xfrm>
          <a:off x="4581525" y="4171950"/>
          <a:ext cx="20009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Enthalpy</a:t>
          </a:r>
          <a:r>
            <a:rPr lang="en-US" sz="1100" baseline="0"/>
            <a:t> change  kcal/mol  BZ= </a:t>
          </a:r>
          <a:endParaRPr lang="en-US" sz="1100"/>
        </a:p>
      </xdr:txBody>
    </xdr:sp>
    <xdr:clientData/>
  </xdr:oneCellAnchor>
  <xdr:oneCellAnchor>
    <xdr:from>
      <xdr:col>5</xdr:col>
      <xdr:colOff>228600</xdr:colOff>
      <xdr:row>24</xdr:row>
      <xdr:rowOff>95250</xdr:rowOff>
    </xdr:from>
    <xdr:ext cx="1822615" cy="264560"/>
    <xdr:sp macro="" textlink="">
      <xdr:nvSpPr>
        <xdr:cNvPr id="5" name="TextBox 4"/>
        <xdr:cNvSpPr txBox="1"/>
      </xdr:nvSpPr>
      <xdr:spPr>
        <a:xfrm>
          <a:off x="4686300" y="4667250"/>
          <a:ext cx="1822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Enthalpy</a:t>
          </a:r>
          <a:r>
            <a:rPr lang="en-US" sz="1100" baseline="0"/>
            <a:t> change kJ/mol  BZ=</a:t>
          </a:r>
          <a:endParaRPr lang="en-US" sz="1100"/>
        </a:p>
      </xdr:txBody>
    </xdr:sp>
    <xdr:clientData/>
  </xdr:oneCellAnchor>
  <xdr:oneCellAnchor>
    <xdr:from>
      <xdr:col>6</xdr:col>
      <xdr:colOff>114300</xdr:colOff>
      <xdr:row>28</xdr:row>
      <xdr:rowOff>76200</xdr:rowOff>
    </xdr:from>
    <xdr:ext cx="2061270" cy="264560"/>
    <xdr:sp macro="" textlink="">
      <xdr:nvSpPr>
        <xdr:cNvPr id="6" name="TextBox 5"/>
        <xdr:cNvSpPr txBox="1"/>
      </xdr:nvSpPr>
      <xdr:spPr>
        <a:xfrm>
          <a:off x="5181600" y="5410200"/>
          <a:ext cx="20612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Textbook value is -205.23</a:t>
          </a:r>
          <a:r>
            <a:rPr lang="en-US" sz="1100" baseline="0"/>
            <a:t> kJ/mol</a:t>
          </a:r>
          <a:endParaRPr lang="en-US" sz="1100"/>
        </a:p>
      </xdr:txBody>
    </xdr:sp>
    <xdr:clientData/>
  </xdr:oneCellAnchor>
  <xdr:oneCellAnchor>
    <xdr:from>
      <xdr:col>0</xdr:col>
      <xdr:colOff>352425</xdr:colOff>
      <xdr:row>0</xdr:row>
      <xdr:rowOff>152400</xdr:rowOff>
    </xdr:from>
    <xdr:ext cx="1131528" cy="264560"/>
    <xdr:sp macro="" textlink="">
      <xdr:nvSpPr>
        <xdr:cNvPr id="7" name="TextBox 6"/>
        <xdr:cNvSpPr txBox="1"/>
      </xdr:nvSpPr>
      <xdr:spPr>
        <a:xfrm>
          <a:off x="352425" y="152400"/>
          <a:ext cx="11315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</a:t>
          </a:r>
          <a:r>
            <a:rPr lang="en-US" sz="1100" baseline="0"/>
            <a:t> 8.5-1</a:t>
          </a:r>
          <a:endParaRPr lang="en-US" sz="1100"/>
        </a:p>
      </xdr:txBody>
    </xdr:sp>
    <xdr:clientData/>
  </xdr:oneCellAnchor>
  <xdr:oneCellAnchor>
    <xdr:from>
      <xdr:col>5</xdr:col>
      <xdr:colOff>457200</xdr:colOff>
      <xdr:row>16</xdr:row>
      <xdr:rowOff>142875</xdr:rowOff>
    </xdr:from>
    <xdr:ext cx="2181944" cy="609013"/>
    <xdr:sp macro="" textlink="">
      <xdr:nvSpPr>
        <xdr:cNvPr id="8" name="TextBox 7"/>
        <xdr:cNvSpPr txBox="1"/>
      </xdr:nvSpPr>
      <xdr:spPr>
        <a:xfrm>
          <a:off x="4914900" y="3190875"/>
          <a:ext cx="2181944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calculation is based on C6H12</a:t>
          </a:r>
        </a:p>
        <a:p>
          <a:r>
            <a:rPr lang="en-US" sz="1100"/>
            <a:t>being liquid in the exit stream. Will</a:t>
          </a:r>
        </a:p>
        <a:p>
          <a:r>
            <a:rPr lang="en-US" sz="1100"/>
            <a:t>repeat</a:t>
          </a:r>
          <a:r>
            <a:rPr lang="en-US" sz="1100" baseline="0"/>
            <a:t> assuming it is a vapor</a:t>
          </a:r>
          <a:endParaRPr lang="en-US" sz="1100"/>
        </a:p>
      </xdr:txBody>
    </xdr:sp>
    <xdr:clientData/>
  </xdr:oneCellAnchor>
  <xdr:oneCellAnchor>
    <xdr:from>
      <xdr:col>6</xdr:col>
      <xdr:colOff>133350</xdr:colOff>
      <xdr:row>35</xdr:row>
      <xdr:rowOff>142875</xdr:rowOff>
    </xdr:from>
    <xdr:ext cx="2899255" cy="436786"/>
    <xdr:sp macro="" textlink="">
      <xdr:nvSpPr>
        <xdr:cNvPr id="9" name="TextBox 8"/>
        <xdr:cNvSpPr txBox="1"/>
      </xdr:nvSpPr>
      <xdr:spPr>
        <a:xfrm>
          <a:off x="5200650" y="6810375"/>
          <a:ext cx="28992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Assuming cyclohexane is all vapor gives a result</a:t>
          </a:r>
        </a:p>
        <a:p>
          <a:r>
            <a:rPr lang="en-US" sz="1100"/>
            <a:t>that</a:t>
          </a:r>
          <a:r>
            <a:rPr lang="en-US" sz="1100" baseline="0"/>
            <a:t> agrees with textbook value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54"/>
  <sheetViews>
    <sheetView tabSelected="1" topLeftCell="B23" workbookViewId="0">
      <selection activeCell="G42" sqref="G42"/>
    </sheetView>
  </sheetViews>
  <sheetFormatPr defaultRowHeight="15" x14ac:dyDescent="0.25"/>
  <cols>
    <col min="3" max="3" width="21.5703125" customWidth="1"/>
    <col min="4" max="4" width="14.140625" customWidth="1"/>
    <col min="5" max="5" width="12.85546875" customWidth="1"/>
    <col min="12" max="12" width="19.5703125" customWidth="1"/>
    <col min="14" max="14" width="17.140625" customWidth="1"/>
  </cols>
  <sheetData>
    <row r="3" spans="3:5" x14ac:dyDescent="0.25">
      <c r="D3">
        <v>1</v>
      </c>
      <c r="E3">
        <v>2</v>
      </c>
    </row>
    <row r="4" spans="3:5" x14ac:dyDescent="0.25">
      <c r="D4" t="s">
        <v>0</v>
      </c>
    </row>
    <row r="5" spans="3:5" x14ac:dyDescent="0.25">
      <c r="E5" t="s">
        <v>0</v>
      </c>
    </row>
    <row r="6" spans="3:5" x14ac:dyDescent="0.25">
      <c r="D6" t="s">
        <v>1</v>
      </c>
      <c r="E6" t="s">
        <v>2</v>
      </c>
    </row>
    <row r="8" spans="3:5" x14ac:dyDescent="0.25">
      <c r="C8" t="s">
        <v>3</v>
      </c>
      <c r="D8" t="s">
        <v>4</v>
      </c>
      <c r="E8" t="s">
        <v>4</v>
      </c>
    </row>
    <row r="9" spans="3:5" x14ac:dyDescent="0.25">
      <c r="C9" t="s">
        <v>5</v>
      </c>
      <c r="D9" t="s">
        <v>4</v>
      </c>
      <c r="E9" t="s">
        <v>4</v>
      </c>
    </row>
    <row r="10" spans="3:5" x14ac:dyDescent="0.25">
      <c r="C10" t="s">
        <v>6</v>
      </c>
      <c r="D10">
        <v>1</v>
      </c>
      <c r="E10">
        <v>0</v>
      </c>
    </row>
    <row r="11" spans="3:5" x14ac:dyDescent="0.25">
      <c r="C11" t="s">
        <v>7</v>
      </c>
      <c r="D11">
        <v>3</v>
      </c>
      <c r="E11">
        <v>0</v>
      </c>
    </row>
    <row r="12" spans="3:5" x14ac:dyDescent="0.25">
      <c r="C12" t="s">
        <v>8</v>
      </c>
      <c r="D12">
        <v>0</v>
      </c>
      <c r="E12">
        <v>1</v>
      </c>
    </row>
    <row r="13" spans="3:5" x14ac:dyDescent="0.25">
      <c r="C13" t="s">
        <v>9</v>
      </c>
      <c r="D13">
        <v>4</v>
      </c>
      <c r="E13">
        <v>1</v>
      </c>
    </row>
    <row r="14" spans="3:5" x14ac:dyDescent="0.25">
      <c r="C14" t="s">
        <v>10</v>
      </c>
      <c r="D14">
        <v>84.161280000000005</v>
      </c>
      <c r="E14">
        <v>84.161280000000005</v>
      </c>
    </row>
    <row r="15" spans="3:5" x14ac:dyDescent="0.25">
      <c r="C15" t="s">
        <v>11</v>
      </c>
      <c r="D15">
        <v>85.176659999999998</v>
      </c>
      <c r="E15">
        <v>0.10912529999999999</v>
      </c>
    </row>
    <row r="16" spans="3:5" x14ac:dyDescent="0.25">
      <c r="C16" t="s">
        <v>12</v>
      </c>
      <c r="D16">
        <v>25</v>
      </c>
      <c r="E16">
        <v>25</v>
      </c>
    </row>
    <row r="17" spans="3:10" x14ac:dyDescent="0.25">
      <c r="C17" t="s">
        <v>13</v>
      </c>
      <c r="D17">
        <v>1</v>
      </c>
      <c r="E17">
        <v>1</v>
      </c>
    </row>
    <row r="18" spans="3:10" x14ac:dyDescent="0.25">
      <c r="C18" t="s">
        <v>14</v>
      </c>
      <c r="D18">
        <v>0.85849929999999997</v>
      </c>
      <c r="E18">
        <v>0</v>
      </c>
    </row>
    <row r="19" spans="3:10" x14ac:dyDescent="0.25">
      <c r="C19" t="s">
        <v>15</v>
      </c>
      <c r="D19">
        <v>0.14150070000000001</v>
      </c>
      <c r="E19">
        <v>1</v>
      </c>
    </row>
    <row r="20" spans="3:10" x14ac:dyDescent="0.25">
      <c r="C20" t="s">
        <v>16</v>
      </c>
      <c r="D20">
        <v>0</v>
      </c>
      <c r="E20">
        <v>0</v>
      </c>
    </row>
    <row r="21" spans="3:10" x14ac:dyDescent="0.25">
      <c r="C21" t="s">
        <v>17</v>
      </c>
      <c r="D21">
        <v>3.8082060000000002</v>
      </c>
      <c r="E21">
        <v>-37.329230000000003</v>
      </c>
    </row>
    <row r="22" spans="3:10" x14ac:dyDescent="0.25">
      <c r="C22" t="s">
        <v>18</v>
      </c>
      <c r="D22">
        <v>180.9956</v>
      </c>
      <c r="E22">
        <v>-443.54390000000001</v>
      </c>
    </row>
    <row r="23" spans="3:10" x14ac:dyDescent="0.25">
      <c r="C23" t="s">
        <v>19</v>
      </c>
      <c r="D23">
        <v>1.5232799999999999E-2</v>
      </c>
      <c r="E23">
        <v>-3.73292E-2</v>
      </c>
      <c r="J23">
        <f>E21-4*D21</f>
        <v>-52.562054000000003</v>
      </c>
    </row>
    <row r="24" spans="3:10" x14ac:dyDescent="0.25">
      <c r="C24" t="s">
        <v>20</v>
      </c>
      <c r="D24">
        <v>-11.928380000000001</v>
      </c>
      <c r="E24">
        <v>-146.69479999999999</v>
      </c>
    </row>
    <row r="25" spans="3:10" x14ac:dyDescent="0.25">
      <c r="C25" t="s">
        <v>21</v>
      </c>
      <c r="D25">
        <v>-0.56692940000000003</v>
      </c>
      <c r="E25">
        <v>-1.74302</v>
      </c>
    </row>
    <row r="26" spans="3:10" x14ac:dyDescent="0.25">
      <c r="C26" t="s">
        <v>22</v>
      </c>
      <c r="D26">
        <v>4.6961200000000002E-2</v>
      </c>
      <c r="E26">
        <v>9.1637740000000001</v>
      </c>
      <c r="J26">
        <f>4.184*J23</f>
        <v>-219.91963393600003</v>
      </c>
    </row>
    <row r="27" spans="3:10" x14ac:dyDescent="0.25">
      <c r="C27" t="s">
        <v>23</v>
      </c>
      <c r="D27">
        <v>0.98807920000000005</v>
      </c>
      <c r="E27">
        <v>771.23500000000001</v>
      </c>
    </row>
    <row r="28" spans="3:10" x14ac:dyDescent="0.25">
      <c r="C28" t="s">
        <v>24</v>
      </c>
      <c r="D28">
        <v>21.040320000000001</v>
      </c>
      <c r="E28">
        <v>84.161280000000005</v>
      </c>
    </row>
    <row r="29" spans="3:10" x14ac:dyDescent="0.25">
      <c r="C29" t="s">
        <v>25</v>
      </c>
      <c r="D29">
        <v>0.2491825</v>
      </c>
      <c r="E29">
        <v>0.107687</v>
      </c>
    </row>
    <row r="31" spans="3:10" x14ac:dyDescent="0.25">
      <c r="D31" t="s">
        <v>26</v>
      </c>
      <c r="E31" t="s">
        <v>26</v>
      </c>
    </row>
    <row r="33" spans="3:10" x14ac:dyDescent="0.25">
      <c r="C33" t="s">
        <v>3</v>
      </c>
      <c r="D33" t="s">
        <v>4</v>
      </c>
      <c r="E33" t="s">
        <v>4</v>
      </c>
    </row>
    <row r="34" spans="3:10" x14ac:dyDescent="0.25">
      <c r="C34" t="s">
        <v>5</v>
      </c>
      <c r="D34" t="s">
        <v>4</v>
      </c>
      <c r="E34" t="s">
        <v>4</v>
      </c>
    </row>
    <row r="35" spans="3:10" x14ac:dyDescent="0.25">
      <c r="C35" t="s">
        <v>6</v>
      </c>
      <c r="D35" s="1">
        <v>1E-3</v>
      </c>
      <c r="E35">
        <v>0</v>
      </c>
    </row>
    <row r="36" spans="3:10" x14ac:dyDescent="0.25">
      <c r="C36" t="s">
        <v>7</v>
      </c>
      <c r="D36" s="1">
        <v>3.0000000000000001E-3</v>
      </c>
      <c r="E36">
        <v>0</v>
      </c>
    </row>
    <row r="37" spans="3:10" x14ac:dyDescent="0.25">
      <c r="C37" t="s">
        <v>8</v>
      </c>
      <c r="D37">
        <v>0</v>
      </c>
      <c r="E37" s="1">
        <v>1E-3</v>
      </c>
    </row>
    <row r="38" spans="3:10" x14ac:dyDescent="0.25">
      <c r="C38" t="s">
        <v>9</v>
      </c>
      <c r="D38" s="1">
        <v>4.0000000000000001E-3</v>
      </c>
      <c r="E38" s="1">
        <v>1E-3</v>
      </c>
    </row>
    <row r="39" spans="3:10" x14ac:dyDescent="0.25">
      <c r="C39" t="s">
        <v>10</v>
      </c>
      <c r="D39">
        <v>8.4161200000000005E-2</v>
      </c>
      <c r="E39">
        <v>8.4161200000000005E-2</v>
      </c>
    </row>
    <row r="40" spans="3:10" x14ac:dyDescent="0.25">
      <c r="C40" t="s">
        <v>11</v>
      </c>
      <c r="D40">
        <v>9.9156700000000004</v>
      </c>
      <c r="E40">
        <v>2.478917</v>
      </c>
    </row>
    <row r="41" spans="3:10" x14ac:dyDescent="0.25">
      <c r="C41" t="s">
        <v>12</v>
      </c>
      <c r="D41">
        <v>25</v>
      </c>
      <c r="E41">
        <v>25</v>
      </c>
    </row>
    <row r="42" spans="3:10" x14ac:dyDescent="0.25">
      <c r="C42" t="s">
        <v>13</v>
      </c>
      <c r="D42">
        <v>0.01</v>
      </c>
      <c r="E42">
        <v>0.01</v>
      </c>
    </row>
    <row r="43" spans="3:10" x14ac:dyDescent="0.25">
      <c r="C43" t="s">
        <v>14</v>
      </c>
      <c r="D43">
        <v>1</v>
      </c>
      <c r="E43">
        <v>1</v>
      </c>
    </row>
    <row r="44" spans="3:10" x14ac:dyDescent="0.25">
      <c r="C44" t="s">
        <v>15</v>
      </c>
      <c r="D44">
        <v>0</v>
      </c>
      <c r="E44">
        <v>0</v>
      </c>
    </row>
    <row r="45" spans="3:10" x14ac:dyDescent="0.25">
      <c r="C45" t="s">
        <v>16</v>
      </c>
      <c r="D45">
        <v>0</v>
      </c>
      <c r="E45">
        <v>0</v>
      </c>
    </row>
    <row r="46" spans="3:10" x14ac:dyDescent="0.25">
      <c r="C46" t="s">
        <v>17</v>
      </c>
      <c r="D46">
        <v>4.948887</v>
      </c>
      <c r="E46">
        <v>-29.4497</v>
      </c>
      <c r="G46" s="2" t="s">
        <v>27</v>
      </c>
      <c r="J46">
        <f>E46-4*D46</f>
        <v>-49.245248000000004</v>
      </c>
    </row>
    <row r="47" spans="3:10" x14ac:dyDescent="0.25">
      <c r="C47" t="s">
        <v>18</v>
      </c>
      <c r="D47">
        <v>235.2097</v>
      </c>
      <c r="E47">
        <v>-349.91980000000001</v>
      </c>
    </row>
    <row r="48" spans="3:10" x14ac:dyDescent="0.25">
      <c r="C48" t="s">
        <v>19</v>
      </c>
      <c r="D48" s="1">
        <v>1.9795600000000001E-5</v>
      </c>
      <c r="E48" s="1">
        <v>-2.9450000000000001E-5</v>
      </c>
    </row>
    <row r="49" spans="3:10" x14ac:dyDescent="0.25">
      <c r="C49" t="s">
        <v>20</v>
      </c>
      <c r="D49">
        <v>0.93123009999999995</v>
      </c>
      <c r="E49">
        <v>-115.1664</v>
      </c>
    </row>
    <row r="50" spans="3:10" x14ac:dyDescent="0.25">
      <c r="C50" t="s">
        <v>21</v>
      </c>
      <c r="D50">
        <v>4.4259300000000001E-2</v>
      </c>
      <c r="E50">
        <v>-1.368401</v>
      </c>
      <c r="G50" s="2" t="s">
        <v>28</v>
      </c>
      <c r="J50">
        <f>4.184*J46</f>
        <v>-206.04211763200001</v>
      </c>
    </row>
    <row r="51" spans="3:10" x14ac:dyDescent="0.25">
      <c r="C51" t="s">
        <v>22</v>
      </c>
      <c r="D51" s="1">
        <v>4.0340200000000002E-4</v>
      </c>
      <c r="E51" s="1">
        <v>4.0340200000000002E-4</v>
      </c>
    </row>
    <row r="52" spans="3:10" x14ac:dyDescent="0.25">
      <c r="C52" t="s">
        <v>23</v>
      </c>
      <c r="D52" s="1">
        <v>8.4877100000000007E-3</v>
      </c>
      <c r="E52">
        <v>3.3950800000000003E-2</v>
      </c>
    </row>
    <row r="53" spans="3:10" x14ac:dyDescent="0.25">
      <c r="C53" t="s">
        <v>24</v>
      </c>
      <c r="D53">
        <v>21.040320000000001</v>
      </c>
      <c r="E53">
        <v>84.161280000000005</v>
      </c>
    </row>
    <row r="54" spans="3:10" x14ac:dyDescent="0.25">
      <c r="C54" t="s">
        <v>25</v>
      </c>
      <c r="D54" s="1">
        <v>2.4918299999999999E-4</v>
      </c>
      <c r="E54" s="1">
        <v>1.07687E-4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2012-09-07T01:17:42Z</dcterms:created>
  <dcterms:modified xsi:type="dcterms:W3CDTF">2012-09-07T13:54:53Z</dcterms:modified>
</cp:coreProperties>
</file>