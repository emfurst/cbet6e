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43" i="1" l="1"/>
  <c r="N42" i="1"/>
  <c r="N41" i="1"/>
  <c r="N40" i="1"/>
  <c r="G43" i="1"/>
  <c r="G42" i="1"/>
  <c r="G41" i="1"/>
  <c r="G40" i="1"/>
  <c r="U43" i="1"/>
  <c r="U42" i="1"/>
  <c r="U41" i="1"/>
  <c r="U40" i="1"/>
  <c r="N13" i="1"/>
  <c r="U13" i="1"/>
  <c r="U12" i="1"/>
  <c r="U11" i="1"/>
  <c r="U10" i="1"/>
  <c r="N12" i="1"/>
  <c r="N11" i="1"/>
  <c r="N10" i="1"/>
  <c r="G12" i="1"/>
  <c r="G11" i="1"/>
  <c r="G10" i="1"/>
</calcChain>
</file>

<file path=xl/sharedStrings.xml><?xml version="1.0" encoding="utf-8"?>
<sst xmlns="http://schemas.openxmlformats.org/spreadsheetml/2006/main" count="200" uniqueCount="29">
  <si>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</si>
  <si>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</si>
  <si>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</si>
  <si>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</si>
  <si>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</si>
  <si>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H2S                     </t>
  </si>
  <si>
    <t xml:space="preserve">  S                       </t>
  </si>
  <si>
    <t xml:space="preserve">  H2-02                   </t>
  </si>
  <si>
    <t xml:space="preserve">  N2     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</si>
  <si>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</si>
  <si>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</si>
  <si>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</si>
  <si>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</si>
  <si>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</si>
  <si>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</si>
  <si>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</si>
  <si>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</si>
  <si>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</si>
  <si>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</si>
  <si>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</si>
  <si>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</si>
  <si>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</si>
  <si>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</si>
  <si>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</si>
  <si>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</si>
  <si>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</si>
  <si>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>Mole fractions</t>
  </si>
  <si>
    <t>Reaction 2H2S&gt;2H2+S2</t>
  </si>
  <si>
    <t>No diluent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</si>
</sst>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U60"/>
  <sheetViews>
    <sheetView tabSelected="1" topLeftCell="A40" workbookViewId="0">
      <selection activeCell="I36" sqref="I36"/>
    </sheetView>
  </sheetViews>
  <sheetFormatPr defaultRowHeight="15" x14ac:dyDescent="0.25"/>
  <sheetData>
    <row r="1" spans="3:21" x14ac:dyDescent="0.25">
      <c r="C1" t="s">
        <v>27</v>
      </c>
    </row>
    <row r="2" spans="3:21" x14ac:dyDescent="0.25">
      <c r="C2" t="s">
        <v>28</v>
      </c>
    </row>
    <row r="3" spans="3:21" x14ac:dyDescent="0.25">
      <c r="D3">
        <v>1</v>
      </c>
      <c r="E3">
        <v>2</v>
      </c>
      <c r="K3">
        <v>1</v>
      </c>
      <c r="L3">
        <v>2</v>
      </c>
      <c r="R3">
        <v>1</v>
      </c>
      <c r="S3">
        <v>2</v>
      </c>
    </row>
    <row r="4" spans="3:21" x14ac:dyDescent="0.25">
      <c r="D4" t="s">
        <v>0</v>
      </c>
      <c r="K4" t="s">
        <v>0</v>
      </c>
      <c r="R4" t="s">
        <v>0</v>
      </c>
    </row>
    <row r="5" spans="3:21" x14ac:dyDescent="0.25">
      <c r="E5" t="s">
        <v>0</v>
      </c>
      <c r="L5" t="s">
        <v>0</v>
      </c>
      <c r="S5" t="s">
        <v>0</v>
      </c>
    </row>
    <row r="6" spans="3:21" x14ac:dyDescent="0.25">
      <c r="D6" t="s">
        <v>1</v>
      </c>
      <c r="E6" t="s">
        <v>1</v>
      </c>
      <c r="K6" t="s">
        <v>1</v>
      </c>
      <c r="L6" t="s">
        <v>1</v>
      </c>
      <c r="R6" t="s">
        <v>1</v>
      </c>
      <c r="S6" t="s">
        <v>1</v>
      </c>
    </row>
    <row r="8" spans="3:21" x14ac:dyDescent="0.25">
      <c r="C8" t="s">
        <v>2</v>
      </c>
      <c r="D8" t="s">
        <v>3</v>
      </c>
      <c r="E8" t="s">
        <v>3</v>
      </c>
      <c r="J8" t="s">
        <v>2</v>
      </c>
      <c r="K8" t="s">
        <v>3</v>
      </c>
      <c r="L8" t="s">
        <v>3</v>
      </c>
      <c r="Q8" t="s">
        <v>2</v>
      </c>
      <c r="R8" t="s">
        <v>3</v>
      </c>
      <c r="S8" t="s">
        <v>3</v>
      </c>
    </row>
    <row r="9" spans="3:21" x14ac:dyDescent="0.25">
      <c r="C9" t="s">
        <v>4</v>
      </c>
      <c r="D9" t="s">
        <v>3</v>
      </c>
      <c r="E9" t="s">
        <v>3</v>
      </c>
      <c r="G9" t="s">
        <v>26</v>
      </c>
      <c r="J9" t="s">
        <v>4</v>
      </c>
      <c r="K9" t="s">
        <v>3</v>
      </c>
      <c r="L9" t="s">
        <v>3</v>
      </c>
      <c r="N9" t="s">
        <v>26</v>
      </c>
      <c r="Q9" t="s">
        <v>4</v>
      </c>
      <c r="R9" t="s">
        <v>3</v>
      </c>
      <c r="S9" t="s">
        <v>3</v>
      </c>
      <c r="U9" t="s">
        <v>26</v>
      </c>
    </row>
    <row r="10" spans="3:21" x14ac:dyDescent="0.25">
      <c r="C10" t="s">
        <v>5</v>
      </c>
      <c r="D10">
        <v>1</v>
      </c>
      <c r="E10">
        <v>0.96213190000000004</v>
      </c>
      <c r="G10">
        <f>E10/(E10+E11+E12)</f>
        <v>0.94425349868131792</v>
      </c>
      <c r="J10" t="s">
        <v>5</v>
      </c>
      <c r="K10">
        <v>1</v>
      </c>
      <c r="L10">
        <v>0.95271170000000005</v>
      </c>
      <c r="N10">
        <f>L10/(L10+L11+L12+L13)</f>
        <v>0.47079014536202285</v>
      </c>
      <c r="Q10" t="s">
        <v>5</v>
      </c>
      <c r="R10">
        <v>1</v>
      </c>
      <c r="S10">
        <v>0.90057480000000001</v>
      </c>
      <c r="U10">
        <f>S10/(S10+S11+S12+S13)</f>
        <v>4.2783234959702016E-2</v>
      </c>
    </row>
    <row r="11" spans="3:21" x14ac:dyDescent="0.25">
      <c r="C11" t="s">
        <v>6</v>
      </c>
      <c r="D11">
        <v>0</v>
      </c>
      <c r="E11">
        <v>1.8933999999999999E-2</v>
      </c>
      <c r="G11">
        <f>E11/(E10+E11+E12)</f>
        <v>1.8582167106227402E-2</v>
      </c>
      <c r="J11" t="s">
        <v>6</v>
      </c>
      <c r="K11">
        <v>0</v>
      </c>
      <c r="L11">
        <v>2.3644100000000001E-2</v>
      </c>
      <c r="N11">
        <f>L11/(L10+L11+L12+L13)</f>
        <v>1.1683922088869281E-2</v>
      </c>
      <c r="Q11" t="s">
        <v>6</v>
      </c>
      <c r="R11">
        <v>0</v>
      </c>
      <c r="S11">
        <v>4.9712600000000003E-2</v>
      </c>
      <c r="U11">
        <f>S11/(S10+S11+S12+S13)</f>
        <v>2.3616759499129696E-3</v>
      </c>
    </row>
    <row r="12" spans="3:21" x14ac:dyDescent="0.25">
      <c r="C12" t="s">
        <v>7</v>
      </c>
      <c r="D12">
        <v>0</v>
      </c>
      <c r="E12">
        <v>3.7867999999999999E-2</v>
      </c>
      <c r="G12">
        <f>E12/(E10+E11+12)</f>
        <v>2.9171718479604975E-3</v>
      </c>
      <c r="J12" t="s">
        <v>7</v>
      </c>
      <c r="K12">
        <v>0</v>
      </c>
      <c r="L12">
        <v>4.7288299999999998E-2</v>
      </c>
      <c r="N12">
        <f>L12/(L10+L11+12+L13)</f>
        <v>3.3834499261960688E-3</v>
      </c>
      <c r="Q12" t="s">
        <v>7</v>
      </c>
      <c r="R12">
        <v>0</v>
      </c>
      <c r="S12">
        <v>9.9425200000000005E-2</v>
      </c>
      <c r="U12">
        <f>S12/(S10+S11+12+S13)</f>
        <v>3.017430433702378E-3</v>
      </c>
    </row>
    <row r="13" spans="3:21" x14ac:dyDescent="0.25">
      <c r="C13" t="s">
        <v>8</v>
      </c>
      <c r="D13">
        <v>0</v>
      </c>
      <c r="E13">
        <v>0</v>
      </c>
      <c r="G13">
        <v>0</v>
      </c>
      <c r="J13" t="s">
        <v>8</v>
      </c>
      <c r="K13">
        <v>1</v>
      </c>
      <c r="L13">
        <v>1</v>
      </c>
      <c r="N13">
        <f>L13/(L10+L11+L12+L13)</f>
        <v>0.49415803895556532</v>
      </c>
      <c r="Q13" t="s">
        <v>8</v>
      </c>
      <c r="R13">
        <v>20</v>
      </c>
      <c r="S13">
        <v>20</v>
      </c>
      <c r="U13">
        <f>S13/(S10+S11+S12+S13)</f>
        <v>0.9501317371905591</v>
      </c>
    </row>
    <row r="14" spans="3:21" x14ac:dyDescent="0.25">
      <c r="C14" t="s">
        <v>9</v>
      </c>
      <c r="D14">
        <v>1</v>
      </c>
      <c r="E14">
        <v>1.018934</v>
      </c>
      <c r="J14" t="s">
        <v>9</v>
      </c>
      <c r="K14">
        <v>2</v>
      </c>
      <c r="L14">
        <v>2.023644</v>
      </c>
      <c r="Q14" t="s">
        <v>9</v>
      </c>
      <c r="R14">
        <v>21</v>
      </c>
      <c r="S14">
        <v>21.049710000000001</v>
      </c>
    </row>
    <row r="15" spans="3:21" x14ac:dyDescent="0.25">
      <c r="C15" t="s">
        <v>10</v>
      </c>
      <c r="D15">
        <v>34.081879999999998</v>
      </c>
      <c r="E15">
        <v>34.081879999999998</v>
      </c>
      <c r="J15" t="s">
        <v>10</v>
      </c>
      <c r="K15">
        <v>62.095359999999999</v>
      </c>
      <c r="L15">
        <v>62.095359999999999</v>
      </c>
      <c r="Q15" t="s">
        <v>10</v>
      </c>
      <c r="R15">
        <v>594.35149999999999</v>
      </c>
      <c r="S15">
        <v>594.35149999999999</v>
      </c>
    </row>
    <row r="16" spans="3:21" x14ac:dyDescent="0.25">
      <c r="C16" t="s">
        <v>11</v>
      </c>
      <c r="D16">
        <v>1348.5150000000001</v>
      </c>
      <c r="E16">
        <v>1374.048</v>
      </c>
      <c r="J16" t="s">
        <v>11</v>
      </c>
      <c r="K16">
        <v>2697.03</v>
      </c>
      <c r="L16">
        <v>2728.915</v>
      </c>
      <c r="Q16" t="s">
        <v>11</v>
      </c>
      <c r="R16">
        <v>28318.82</v>
      </c>
      <c r="S16">
        <v>28385.85</v>
      </c>
    </row>
    <row r="17" spans="3:19" x14ac:dyDescent="0.25">
      <c r="C17" t="s">
        <v>12</v>
      </c>
      <c r="D17">
        <v>973.15</v>
      </c>
      <c r="E17">
        <v>973.15</v>
      </c>
      <c r="J17" t="s">
        <v>12</v>
      </c>
      <c r="K17">
        <v>973.15</v>
      </c>
      <c r="L17">
        <v>973.15</v>
      </c>
      <c r="Q17" t="s">
        <v>12</v>
      </c>
      <c r="R17">
        <v>973.15</v>
      </c>
      <c r="S17">
        <v>973.15</v>
      </c>
    </row>
    <row r="18" spans="3:19" x14ac:dyDescent="0.25">
      <c r="C18" t="s">
        <v>13</v>
      </c>
      <c r="D18">
        <v>0.98692329999999995</v>
      </c>
      <c r="E18">
        <v>0.98692329999999995</v>
      </c>
      <c r="J18" t="s">
        <v>13</v>
      </c>
      <c r="K18">
        <v>0.98692329999999995</v>
      </c>
      <c r="L18">
        <v>0.98692329999999995</v>
      </c>
      <c r="Q18" t="s">
        <v>13</v>
      </c>
      <c r="R18">
        <v>0.98692329999999995</v>
      </c>
      <c r="S18">
        <v>0.98692329999999995</v>
      </c>
    </row>
    <row r="19" spans="3:19" x14ac:dyDescent="0.25">
      <c r="C19" t="s">
        <v>14</v>
      </c>
      <c r="D19">
        <v>1</v>
      </c>
      <c r="E19">
        <v>1</v>
      </c>
      <c r="J19" t="s">
        <v>14</v>
      </c>
      <c r="K19">
        <v>1</v>
      </c>
      <c r="L19">
        <v>1</v>
      </c>
      <c r="Q19" t="s">
        <v>14</v>
      </c>
      <c r="R19">
        <v>1</v>
      </c>
      <c r="S19">
        <v>1</v>
      </c>
    </row>
    <row r="20" spans="3:19" x14ac:dyDescent="0.25">
      <c r="C20" t="s">
        <v>15</v>
      </c>
      <c r="D20">
        <v>0</v>
      </c>
      <c r="E20">
        <v>0</v>
      </c>
      <c r="J20" t="s">
        <v>15</v>
      </c>
      <c r="K20">
        <v>0</v>
      </c>
      <c r="L20">
        <v>0</v>
      </c>
      <c r="Q20" t="s">
        <v>15</v>
      </c>
      <c r="R20">
        <v>0</v>
      </c>
      <c r="S20">
        <v>0</v>
      </c>
    </row>
    <row r="21" spans="3:19" x14ac:dyDescent="0.25">
      <c r="C21" t="s">
        <v>16</v>
      </c>
      <c r="D21">
        <v>0</v>
      </c>
      <c r="E21">
        <v>0</v>
      </c>
      <c r="J21" t="s">
        <v>16</v>
      </c>
      <c r="K21">
        <v>0</v>
      </c>
      <c r="L21">
        <v>0</v>
      </c>
      <c r="Q21" t="s">
        <v>16</v>
      </c>
      <c r="R21">
        <v>0</v>
      </c>
      <c r="S21">
        <v>0</v>
      </c>
    </row>
    <row r="22" spans="3:19" x14ac:dyDescent="0.25">
      <c r="C22" t="s">
        <v>17</v>
      </c>
      <c r="D22">
        <v>1470.1410000000001</v>
      </c>
      <c r="E22">
        <v>2241.9349999999999</v>
      </c>
      <c r="J22" t="s">
        <v>17</v>
      </c>
      <c r="K22">
        <v>3193.5010000000002</v>
      </c>
      <c r="L22">
        <v>3658.6480000000001</v>
      </c>
      <c r="Q22" t="s">
        <v>17</v>
      </c>
      <c r="R22">
        <v>4752.732</v>
      </c>
      <c r="S22">
        <v>4843.07</v>
      </c>
    </row>
    <row r="23" spans="3:19" x14ac:dyDescent="0.25">
      <c r="C23" t="s">
        <v>18</v>
      </c>
      <c r="D23">
        <v>43.135570000000001</v>
      </c>
      <c r="E23">
        <v>67.026359999999997</v>
      </c>
      <c r="J23" t="s">
        <v>18</v>
      </c>
      <c r="K23">
        <v>102.858</v>
      </c>
      <c r="L23">
        <v>119.2328</v>
      </c>
      <c r="Q23" t="s">
        <v>18</v>
      </c>
      <c r="R23">
        <v>167.9265</v>
      </c>
      <c r="S23">
        <v>171.52350000000001</v>
      </c>
    </row>
    <row r="24" spans="3:19" x14ac:dyDescent="0.25">
      <c r="C24" t="s">
        <v>19</v>
      </c>
      <c r="D24">
        <v>408.37259999999998</v>
      </c>
      <c r="E24">
        <v>634.55119999999999</v>
      </c>
      <c r="J24" t="s">
        <v>19</v>
      </c>
      <c r="K24">
        <v>1774.1669999999999</v>
      </c>
      <c r="L24">
        <v>2056.6109999999999</v>
      </c>
      <c r="Q24" t="s">
        <v>19</v>
      </c>
      <c r="R24">
        <v>27724.27</v>
      </c>
      <c r="S24">
        <v>28318.12</v>
      </c>
    </row>
    <row r="25" spans="3:19" x14ac:dyDescent="0.25">
      <c r="C25" t="s">
        <v>20</v>
      </c>
      <c r="D25">
        <v>21.185040000000001</v>
      </c>
      <c r="E25">
        <v>21.724329999999998</v>
      </c>
      <c r="J25" t="s">
        <v>20</v>
      </c>
      <c r="K25">
        <v>16.242270000000001</v>
      </c>
      <c r="L25">
        <v>16.639420000000001</v>
      </c>
      <c r="Q25" t="s">
        <v>20</v>
      </c>
      <c r="R25">
        <v>9.5285499999999992</v>
      </c>
      <c r="S25">
        <v>9.6249739999999999</v>
      </c>
    </row>
    <row r="26" spans="3:19" x14ac:dyDescent="0.25">
      <c r="C26" t="s">
        <v>21</v>
      </c>
      <c r="D26">
        <v>0.62159249999999999</v>
      </c>
      <c r="E26">
        <v>0.64948470000000003</v>
      </c>
      <c r="J26" t="s">
        <v>21</v>
      </c>
      <c r="K26">
        <v>0.52313960000000004</v>
      </c>
      <c r="L26">
        <v>0.54226719999999995</v>
      </c>
      <c r="Q26" t="s">
        <v>21</v>
      </c>
      <c r="R26">
        <v>0.33666869999999999</v>
      </c>
      <c r="S26">
        <v>0.34088069999999998</v>
      </c>
    </row>
    <row r="27" spans="3:19" x14ac:dyDescent="0.25">
      <c r="C27" t="s">
        <v>22</v>
      </c>
      <c r="D27" s="1">
        <v>1.23593E-5</v>
      </c>
      <c r="E27" s="1">
        <v>1.23593E-5</v>
      </c>
      <c r="J27" t="s">
        <v>22</v>
      </c>
      <c r="K27" s="1">
        <v>1.23593E-5</v>
      </c>
      <c r="L27" s="1">
        <v>1.23593E-5</v>
      </c>
      <c r="Q27" t="s">
        <v>22</v>
      </c>
      <c r="R27" s="1">
        <v>1.23593E-5</v>
      </c>
      <c r="S27" s="1">
        <v>1.23593E-5</v>
      </c>
    </row>
    <row r="28" spans="3:19" x14ac:dyDescent="0.25">
      <c r="C28" t="s">
        <v>23</v>
      </c>
      <c r="D28" s="1">
        <v>4.2122699999999998E-4</v>
      </c>
      <c r="E28" s="1">
        <v>4.1340000000000002E-4</v>
      </c>
      <c r="J28" t="s">
        <v>23</v>
      </c>
      <c r="K28" s="1">
        <v>3.8372699999999999E-4</v>
      </c>
      <c r="L28" s="1">
        <v>3.7924299999999997E-4</v>
      </c>
      <c r="Q28" t="s">
        <v>23</v>
      </c>
      <c r="R28" s="1">
        <v>3.4979800000000001E-4</v>
      </c>
      <c r="S28" s="1">
        <v>3.4897200000000002E-4</v>
      </c>
    </row>
    <row r="29" spans="3:19" x14ac:dyDescent="0.25">
      <c r="C29" t="s">
        <v>24</v>
      </c>
      <c r="D29">
        <v>34.081879999999998</v>
      </c>
      <c r="E29">
        <v>33.448560000000001</v>
      </c>
      <c r="J29" t="s">
        <v>24</v>
      </c>
      <c r="K29">
        <v>31.04768</v>
      </c>
      <c r="L29">
        <v>30.684920000000002</v>
      </c>
      <c r="Q29" t="s">
        <v>24</v>
      </c>
      <c r="R29">
        <v>28.30245</v>
      </c>
      <c r="S29">
        <v>28.235610000000001</v>
      </c>
    </row>
    <row r="30" spans="3:19" x14ac:dyDescent="0.25">
      <c r="C30" t="s">
        <v>25</v>
      </c>
      <c r="D30">
        <v>0.89263000000000003</v>
      </c>
      <c r="E30" t="s">
        <v>3</v>
      </c>
      <c r="J30" t="s">
        <v>25</v>
      </c>
      <c r="K30">
        <v>1.7852600000000001</v>
      </c>
      <c r="L30" t="s">
        <v>3</v>
      </c>
      <c r="Q30" t="s">
        <v>25</v>
      </c>
      <c r="R30">
        <v>18.745229999999999</v>
      </c>
      <c r="S30" t="s">
        <v>3</v>
      </c>
    </row>
    <row r="33" spans="3:21" x14ac:dyDescent="0.25">
      <c r="D33">
        <v>1</v>
      </c>
      <c r="E33">
        <v>2</v>
      </c>
      <c r="K33">
        <v>1</v>
      </c>
      <c r="L33">
        <v>2</v>
      </c>
      <c r="R33">
        <v>1</v>
      </c>
      <c r="S33">
        <v>2</v>
      </c>
    </row>
    <row r="34" spans="3:21" x14ac:dyDescent="0.25">
      <c r="D34" t="s">
        <v>0</v>
      </c>
      <c r="K34" t="s">
        <v>0</v>
      </c>
      <c r="R34" t="s">
        <v>0</v>
      </c>
    </row>
    <row r="35" spans="3:21" x14ac:dyDescent="0.25">
      <c r="E35" t="s">
        <v>0</v>
      </c>
      <c r="L35" t="s">
        <v>0</v>
      </c>
      <c r="S35" t="s">
        <v>0</v>
      </c>
    </row>
    <row r="36" spans="3:21" x14ac:dyDescent="0.25">
      <c r="D36" t="s">
        <v>1</v>
      </c>
      <c r="E36" t="s">
        <v>1</v>
      </c>
      <c r="K36" t="s">
        <v>1</v>
      </c>
      <c r="L36" t="s">
        <v>1</v>
      </c>
      <c r="R36" t="s">
        <v>1</v>
      </c>
      <c r="S36" t="s">
        <v>1</v>
      </c>
    </row>
    <row r="38" spans="3:21" x14ac:dyDescent="0.25">
      <c r="C38" t="s">
        <v>2</v>
      </c>
      <c r="D38" t="s">
        <v>3</v>
      </c>
      <c r="E38" t="s">
        <v>3</v>
      </c>
      <c r="J38" t="s">
        <v>2</v>
      </c>
      <c r="K38" t="s">
        <v>3</v>
      </c>
      <c r="L38" t="s">
        <v>3</v>
      </c>
      <c r="Q38" t="s">
        <v>2</v>
      </c>
      <c r="R38" t="s">
        <v>3</v>
      </c>
      <c r="S38" t="s">
        <v>3</v>
      </c>
    </row>
    <row r="39" spans="3:21" x14ac:dyDescent="0.25">
      <c r="C39" t="s">
        <v>4</v>
      </c>
      <c r="D39" t="s">
        <v>3</v>
      </c>
      <c r="E39" t="s">
        <v>3</v>
      </c>
      <c r="G39" t="s">
        <v>26</v>
      </c>
      <c r="J39" t="s">
        <v>4</v>
      </c>
      <c r="K39" t="s">
        <v>3</v>
      </c>
      <c r="L39" t="s">
        <v>3</v>
      </c>
      <c r="N39" t="s">
        <v>26</v>
      </c>
      <c r="Q39" t="s">
        <v>4</v>
      </c>
      <c r="R39" t="s">
        <v>3</v>
      </c>
      <c r="S39" t="s">
        <v>3</v>
      </c>
      <c r="U39" t="s">
        <v>26</v>
      </c>
    </row>
    <row r="40" spans="3:21" x14ac:dyDescent="0.25">
      <c r="C40" t="s">
        <v>5</v>
      </c>
      <c r="D40">
        <v>1</v>
      </c>
      <c r="E40">
        <v>0.80143940000000002</v>
      </c>
      <c r="G40">
        <f>E40/(E40+E41+E42+E43)</f>
        <v>0.72905834199506181</v>
      </c>
      <c r="J40" t="s">
        <v>5</v>
      </c>
      <c r="K40">
        <v>1</v>
      </c>
      <c r="L40">
        <v>0.76120969999999999</v>
      </c>
      <c r="N40">
        <f>L40/(L40+L41+L42+L43)</f>
        <v>0.35916365948000911</v>
      </c>
      <c r="Q40" t="s">
        <v>5</v>
      </c>
      <c r="R40">
        <v>1</v>
      </c>
      <c r="S40">
        <v>0.57377500000000003</v>
      </c>
      <c r="U40">
        <f>S40/(S40+S41+S42+S43)</f>
        <v>2.7048128840121883E-2</v>
      </c>
    </row>
    <row r="41" spans="3:21" x14ac:dyDescent="0.25">
      <c r="C41" t="s">
        <v>6</v>
      </c>
      <c r="D41">
        <v>0</v>
      </c>
      <c r="E41">
        <v>9.9280199999999999E-2</v>
      </c>
      <c r="G41">
        <f>E41/(E40+E41+E42+E43)</f>
        <v>9.0313825355901059E-2</v>
      </c>
      <c r="J41" t="s">
        <v>6</v>
      </c>
      <c r="K41">
        <v>0</v>
      </c>
      <c r="L41">
        <v>0.1193951</v>
      </c>
      <c r="N41">
        <f>L41/(L40+L41+L42+L43)</f>
        <v>5.6334517334686675E-2</v>
      </c>
      <c r="Q41" t="s">
        <v>6</v>
      </c>
      <c r="R41">
        <v>0</v>
      </c>
      <c r="S41">
        <v>0.21311250000000001</v>
      </c>
      <c r="U41">
        <f>S41/(S40+S41+S42+S43)</f>
        <v>1.004626265947536E-2</v>
      </c>
    </row>
    <row r="42" spans="3:21" x14ac:dyDescent="0.25">
      <c r="C42" t="s">
        <v>7</v>
      </c>
      <c r="D42">
        <v>0</v>
      </c>
      <c r="E42">
        <v>0.1985606</v>
      </c>
      <c r="G42">
        <f>E42/(E40+E41+12+E43)</f>
        <v>1.5391435994004551E-2</v>
      </c>
      <c r="J42" t="s">
        <v>7</v>
      </c>
      <c r="K42">
        <v>0</v>
      </c>
      <c r="L42">
        <v>0.23879030000000001</v>
      </c>
      <c r="N42">
        <f>L42/(L40+L41+12+L43)</f>
        <v>1.7203162501968215E-2</v>
      </c>
      <c r="Q42" t="s">
        <v>7</v>
      </c>
      <c r="R42">
        <v>0</v>
      </c>
      <c r="S42">
        <v>0.42622500000000002</v>
      </c>
      <c r="U42">
        <f>S42/(S40+S41+12+S43)</f>
        <v>1.2999861606259516E-2</v>
      </c>
    </row>
    <row r="43" spans="3:21" x14ac:dyDescent="0.25">
      <c r="C43" t="s">
        <v>8</v>
      </c>
      <c r="D43">
        <v>0</v>
      </c>
      <c r="E43">
        <v>0</v>
      </c>
      <c r="G43">
        <f>E43/(E40+E41+E42+E43)</f>
        <v>0</v>
      </c>
      <c r="J43" t="s">
        <v>8</v>
      </c>
      <c r="K43">
        <v>1</v>
      </c>
      <c r="L43">
        <v>1</v>
      </c>
      <c r="N43">
        <f>L43/(L40+L41+L42+L43)</f>
        <v>0.47183274133265662</v>
      </c>
      <c r="Q43" t="s">
        <v>8</v>
      </c>
      <c r="R43">
        <v>20</v>
      </c>
      <c r="S43">
        <v>20</v>
      </c>
      <c r="U43">
        <f>S43/(S40+S41+S42+S43)</f>
        <v>0.94281308318145196</v>
      </c>
    </row>
    <row r="44" spans="3:21" x14ac:dyDescent="0.25">
      <c r="C44" t="s">
        <v>9</v>
      </c>
      <c r="D44">
        <v>1</v>
      </c>
      <c r="E44">
        <v>1.09928</v>
      </c>
      <c r="J44" t="s">
        <v>9</v>
      </c>
      <c r="K44">
        <v>2</v>
      </c>
      <c r="L44">
        <v>2.1193949999999999</v>
      </c>
      <c r="Q44" t="s">
        <v>9</v>
      </c>
      <c r="R44">
        <v>21</v>
      </c>
      <c r="S44">
        <v>21.21311</v>
      </c>
    </row>
    <row r="45" spans="3:21" x14ac:dyDescent="0.25">
      <c r="C45" t="s">
        <v>10</v>
      </c>
      <c r="D45">
        <v>34.081879999999998</v>
      </c>
      <c r="E45">
        <v>34.081879999999998</v>
      </c>
      <c r="J45" t="s">
        <v>10</v>
      </c>
      <c r="K45">
        <v>62.095359999999999</v>
      </c>
      <c r="L45">
        <v>62.095359999999999</v>
      </c>
      <c r="Q45" t="s">
        <v>10</v>
      </c>
      <c r="R45">
        <v>594.35149999999999</v>
      </c>
      <c r="S45">
        <v>594.35149999999999</v>
      </c>
    </row>
    <row r="46" spans="3:21" x14ac:dyDescent="0.25">
      <c r="C46" t="s">
        <v>11</v>
      </c>
      <c r="D46">
        <v>1348.5150000000001</v>
      </c>
      <c r="E46">
        <v>1939.385</v>
      </c>
      <c r="J46" t="s">
        <v>11</v>
      </c>
      <c r="K46">
        <v>2697.03</v>
      </c>
      <c r="L46">
        <v>3739.1039999999998</v>
      </c>
      <c r="Q46" t="s">
        <v>11</v>
      </c>
      <c r="R46">
        <v>28318.82</v>
      </c>
      <c r="S46">
        <v>37424.839999999997</v>
      </c>
    </row>
    <row r="47" spans="3:21" x14ac:dyDescent="0.25">
      <c r="C47" t="s">
        <v>12</v>
      </c>
      <c r="D47">
        <v>973.15</v>
      </c>
      <c r="E47">
        <v>1273.1500000000001</v>
      </c>
      <c r="J47" t="s">
        <v>12</v>
      </c>
      <c r="K47">
        <v>973.15</v>
      </c>
      <c r="L47">
        <v>1273.1500000000001</v>
      </c>
      <c r="Q47" t="s">
        <v>12</v>
      </c>
      <c r="R47">
        <v>973.15</v>
      </c>
      <c r="S47">
        <v>1273.1500000000001</v>
      </c>
    </row>
    <row r="48" spans="3:21" x14ac:dyDescent="0.25">
      <c r="C48" t="s">
        <v>13</v>
      </c>
      <c r="D48">
        <v>0.98692329999999995</v>
      </c>
      <c r="E48">
        <v>0.98692329999999995</v>
      </c>
      <c r="J48" t="s">
        <v>13</v>
      </c>
      <c r="K48">
        <v>0.98692329999999995</v>
      </c>
      <c r="L48">
        <v>0.98692329999999995</v>
      </c>
      <c r="Q48" t="s">
        <v>13</v>
      </c>
      <c r="R48">
        <v>0.98692329999999995</v>
      </c>
      <c r="S48">
        <v>0.98692329999999995</v>
      </c>
    </row>
    <row r="49" spans="3:19" x14ac:dyDescent="0.25">
      <c r="C49" t="s">
        <v>14</v>
      </c>
      <c r="D49">
        <v>1</v>
      </c>
      <c r="E49">
        <v>1</v>
      </c>
      <c r="J49" t="s">
        <v>14</v>
      </c>
      <c r="K49">
        <v>1</v>
      </c>
      <c r="L49">
        <v>1</v>
      </c>
      <c r="Q49" t="s">
        <v>14</v>
      </c>
      <c r="R49">
        <v>1</v>
      </c>
      <c r="S49">
        <v>1</v>
      </c>
    </row>
    <row r="50" spans="3:19" x14ac:dyDescent="0.25">
      <c r="C50" t="s">
        <v>15</v>
      </c>
      <c r="D50">
        <v>0</v>
      </c>
      <c r="E50">
        <v>0</v>
      </c>
      <c r="J50" t="s">
        <v>15</v>
      </c>
      <c r="K50">
        <v>0</v>
      </c>
      <c r="L50">
        <v>0</v>
      </c>
      <c r="Q50" t="s">
        <v>15</v>
      </c>
      <c r="R50">
        <v>0</v>
      </c>
      <c r="S50">
        <v>0</v>
      </c>
    </row>
    <row r="51" spans="3:19" x14ac:dyDescent="0.25">
      <c r="C51" t="s">
        <v>16</v>
      </c>
      <c r="D51">
        <v>0</v>
      </c>
      <c r="E51">
        <v>0</v>
      </c>
      <c r="J51" t="s">
        <v>16</v>
      </c>
      <c r="K51">
        <v>0</v>
      </c>
      <c r="L51">
        <v>0</v>
      </c>
      <c r="Q51" t="s">
        <v>16</v>
      </c>
      <c r="R51">
        <v>0</v>
      </c>
      <c r="S51">
        <v>0</v>
      </c>
    </row>
    <row r="52" spans="3:19" x14ac:dyDescent="0.25">
      <c r="C52" t="s">
        <v>17</v>
      </c>
      <c r="D52">
        <v>1470.1410000000001</v>
      </c>
      <c r="E52">
        <v>8339.0519999999997</v>
      </c>
      <c r="J52" t="s">
        <v>17</v>
      </c>
      <c r="K52">
        <v>3193.5010000000002</v>
      </c>
      <c r="L52">
        <v>8182.7479999999996</v>
      </c>
      <c r="Q52" t="s">
        <v>17</v>
      </c>
      <c r="R52">
        <v>4752.732</v>
      </c>
      <c r="S52">
        <v>7552.0559999999996</v>
      </c>
    </row>
    <row r="53" spans="3:19" x14ac:dyDescent="0.25">
      <c r="C53" t="s">
        <v>18</v>
      </c>
      <c r="D53">
        <v>43.135570000000001</v>
      </c>
      <c r="E53">
        <v>268.96859999999998</v>
      </c>
      <c r="J53" t="s">
        <v>18</v>
      </c>
      <c r="K53">
        <v>102.858</v>
      </c>
      <c r="L53">
        <v>279.2878</v>
      </c>
      <c r="Q53" t="s">
        <v>18</v>
      </c>
      <c r="R53">
        <v>167.9265</v>
      </c>
      <c r="S53">
        <v>269.5419</v>
      </c>
    </row>
    <row r="54" spans="3:19" x14ac:dyDescent="0.25">
      <c r="C54" t="s">
        <v>19</v>
      </c>
      <c r="D54">
        <v>408.37259999999998</v>
      </c>
      <c r="E54">
        <v>2546.3760000000002</v>
      </c>
      <c r="J54" t="s">
        <v>19</v>
      </c>
      <c r="K54">
        <v>1774.1669999999999</v>
      </c>
      <c r="L54">
        <v>4817.3549999999996</v>
      </c>
      <c r="Q54" t="s">
        <v>19</v>
      </c>
      <c r="R54">
        <v>27724.27</v>
      </c>
      <c r="S54">
        <v>44500.73</v>
      </c>
    </row>
    <row r="55" spans="3:19" x14ac:dyDescent="0.25">
      <c r="C55" t="s">
        <v>20</v>
      </c>
      <c r="D55">
        <v>21.185040000000001</v>
      </c>
      <c r="E55">
        <v>25.678339999999999</v>
      </c>
      <c r="J55" t="s">
        <v>20</v>
      </c>
      <c r="K55">
        <v>16.242270000000001</v>
      </c>
      <c r="L55">
        <v>20.04936</v>
      </c>
      <c r="Q55" t="s">
        <v>20</v>
      </c>
      <c r="R55">
        <v>9.5285499999999992</v>
      </c>
      <c r="S55">
        <v>12.00461</v>
      </c>
    </row>
    <row r="56" spans="3:19" x14ac:dyDescent="0.25">
      <c r="C56" t="s">
        <v>21</v>
      </c>
      <c r="D56">
        <v>0.62159249999999999</v>
      </c>
      <c r="E56">
        <v>0.82823159999999996</v>
      </c>
      <c r="J56" t="s">
        <v>21</v>
      </c>
      <c r="K56">
        <v>0.52313960000000004</v>
      </c>
      <c r="L56">
        <v>0.68431059999999999</v>
      </c>
      <c r="Q56" t="s">
        <v>21</v>
      </c>
      <c r="R56">
        <v>0.33666869999999999</v>
      </c>
      <c r="S56">
        <v>0.42845879999999997</v>
      </c>
    </row>
    <row r="57" spans="3:19" x14ac:dyDescent="0.25">
      <c r="C57" t="s">
        <v>22</v>
      </c>
      <c r="D57" s="1">
        <v>1.23593E-5</v>
      </c>
      <c r="E57" s="1">
        <v>9.4469799999999998E-6</v>
      </c>
      <c r="J57" t="s">
        <v>22</v>
      </c>
      <c r="K57" s="1">
        <v>1.23593E-5</v>
      </c>
      <c r="L57" s="1">
        <v>9.4469799999999998E-6</v>
      </c>
      <c r="Q57" t="s">
        <v>22</v>
      </c>
      <c r="R57" s="1">
        <v>1.23593E-5</v>
      </c>
      <c r="S57" s="1">
        <v>9.4469799999999998E-6</v>
      </c>
    </row>
    <row r="58" spans="3:19" x14ac:dyDescent="0.25">
      <c r="C58" t="s">
        <v>23</v>
      </c>
      <c r="D58" s="1">
        <v>4.2122699999999998E-4</v>
      </c>
      <c r="E58" s="1">
        <v>2.9289300000000002E-4</v>
      </c>
      <c r="J58" t="s">
        <v>23</v>
      </c>
      <c r="K58" s="1">
        <v>3.8372699999999999E-4</v>
      </c>
      <c r="L58" s="1">
        <v>2.7678400000000003E-4</v>
      </c>
      <c r="Q58" t="s">
        <v>23</v>
      </c>
      <c r="R58" s="1">
        <v>3.4979800000000001E-4</v>
      </c>
      <c r="S58" s="1">
        <v>2.64687E-4</v>
      </c>
    </row>
    <row r="59" spans="3:19" x14ac:dyDescent="0.25">
      <c r="C59" t="s">
        <v>24</v>
      </c>
      <c r="D59">
        <v>34.081879999999998</v>
      </c>
      <c r="E59">
        <v>31.003810000000001</v>
      </c>
      <c r="J59" t="s">
        <v>24</v>
      </c>
      <c r="K59">
        <v>31.04768</v>
      </c>
      <c r="L59">
        <v>29.29862</v>
      </c>
      <c r="Q59" t="s">
        <v>24</v>
      </c>
      <c r="R59">
        <v>28.30245</v>
      </c>
      <c r="S59">
        <v>28.01812</v>
      </c>
    </row>
    <row r="60" spans="3:19" x14ac:dyDescent="0.25">
      <c r="C60" t="s">
        <v>25</v>
      </c>
      <c r="D60">
        <v>0.89263000000000003</v>
      </c>
      <c r="E60" t="s">
        <v>3</v>
      </c>
      <c r="J60" t="s">
        <v>25</v>
      </c>
      <c r="K60">
        <v>1.7852600000000001</v>
      </c>
      <c r="L60" t="s">
        <v>3</v>
      </c>
      <c r="Q60" t="s">
        <v>25</v>
      </c>
      <c r="R60">
        <v>18.745229999999999</v>
      </c>
      <c r="S6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2012-01-30T03:40:23Z</dcterms:created>
  <dcterms:modified xsi:type="dcterms:W3CDTF">2012-01-30T03:54:00Z</dcterms:modified>
</cp:coreProperties>
</file>