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18" i="1" l="1"/>
  <c r="J23" i="1"/>
  <c r="J21" i="1"/>
  <c r="J20" i="1"/>
</calcChain>
</file>

<file path=xl/sharedStrings.xml><?xml version="1.0" encoding="utf-8"?>
<sst xmlns="http://schemas.openxmlformats.org/spreadsheetml/2006/main" count="78" uniqueCount="33">
  <si>
    <t xml:space="preserve">Temperature C             </t>
  </si>
  <si>
    <t xml:space="preserve"> </t>
  </si>
  <si>
    <t xml:space="preserve">Pressure    bar           </t>
  </si>
  <si>
    <t xml:space="preserve">Vapor Frac                </t>
  </si>
  <si>
    <t xml:space="preserve">Mole Flow   kmol/hr       </t>
  </si>
  <si>
    <t xml:space="preserve">Mass Flow   kg/hr         </t>
  </si>
  <si>
    <t xml:space="preserve">Enthalpy    Gcal/hr       </t>
  </si>
  <si>
    <t xml:space="preserve">  CCL4                    </t>
  </si>
  <si>
    <t xml:space="preserve">  H2O                     </t>
  </si>
  <si>
    <t xml:space="preserve">  BR2                     </t>
  </si>
  <si>
    <t xml:space="preserve">Mole Frac                 </t>
  </si>
  <si>
    <t>B2</t>
  </si>
  <si>
    <t>LIQUID</t>
  </si>
  <si>
    <t>MISSING</t>
  </si>
  <si>
    <t xml:space="preserve">Substream: MIXED          </t>
  </si>
  <si>
    <t xml:space="preserve">Total Flow  kmol/hr       </t>
  </si>
  <si>
    <t xml:space="preserve">Total Flow  kg/hr         </t>
  </si>
  <si>
    <t xml:space="preserve">Total Flow  cum/hr        </t>
  </si>
  <si>
    <t xml:space="preserve">Liquid Frac               </t>
  </si>
  <si>
    <t xml:space="preserve">Solid Frac                </t>
  </si>
  <si>
    <t xml:space="preserve">Enthalpy    kcal/mol      </t>
  </si>
  <si>
    <t xml:space="preserve">Enthalpy    kcal/kg       </t>
  </si>
  <si>
    <t xml:space="preserve">Entropy     cal/mol-K     </t>
  </si>
  <si>
    <t xml:space="preserve">Entropy     cal/gm-K      </t>
  </si>
  <si>
    <t xml:space="preserve">Density     kmol/cum      </t>
  </si>
  <si>
    <t xml:space="preserve">Density     kg/cum        </t>
  </si>
  <si>
    <t xml:space="preserve">Average MW                </t>
  </si>
  <si>
    <t xml:space="preserve">Liq Vol 60F cum/hr        </t>
  </si>
  <si>
    <t xml:space="preserve">LiqVolFrac60F             </t>
  </si>
  <si>
    <t>mol br2/m3 ccl=</t>
  </si>
  <si>
    <t>mol br2/m3 h2o=</t>
  </si>
  <si>
    <t>K</t>
  </si>
  <si>
    <t>NRTL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</si>
</sst>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171450</xdr:colOff>
      <xdr:row>26</xdr:row>
      <xdr:rowOff>76200</xdr:rowOff>
    </xdr:from>
    <xdr:ext cx="4229100" cy="953466"/>
    <xdr:sp macro="" textlink="">
      <xdr:nvSpPr>
        <xdr:cNvPr id="2" name="TextBox 1"/>
        <xdr:cNvSpPr txBox="1"/>
      </xdr:nvSpPr>
      <xdr:spPr>
        <a:xfrm>
          <a:off x="6115050" y="5029200"/>
          <a:ext cx="4229100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1.30 compares poorly with a value</a:t>
          </a:r>
          <a:r>
            <a:rPr lang="en-US" sz="1100" baseline="0"/>
            <a:t> of about 27 given in the illustration.</a:t>
          </a:r>
        </a:p>
        <a:p>
          <a:r>
            <a:rPr lang="en-US" sz="1100" baseline="0"/>
            <a:t>This is because there are no Br2-H2O parameters in the  ASPEN data bank. By making various choices for these parameters (based on trial and error?) better agreement with the illustration data could be obtained.</a:t>
          </a:r>
          <a:endParaRPr lang="en-US" sz="1100"/>
        </a:p>
      </xdr:txBody>
    </xdr:sp>
    <xdr:clientData/>
  </xdr:oneCellAnchor>
  <xdr:oneCellAnchor>
    <xdr:from>
      <xdr:col>0</xdr:col>
      <xdr:colOff>95250</xdr:colOff>
      <xdr:row>0</xdr:row>
      <xdr:rowOff>28575</xdr:rowOff>
    </xdr:from>
    <xdr:ext cx="1203022" cy="264560"/>
    <xdr:sp macro="" textlink="">
      <xdr:nvSpPr>
        <xdr:cNvPr id="3" name="TextBox 2"/>
        <xdr:cNvSpPr txBox="1"/>
      </xdr:nvSpPr>
      <xdr:spPr>
        <a:xfrm>
          <a:off x="95250" y="2857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11.4-1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42"/>
  <sheetViews>
    <sheetView tabSelected="1" workbookViewId="0"/>
  </sheetViews>
  <sheetFormatPr defaultRowHeight="15" x14ac:dyDescent="0.25"/>
  <cols>
    <col min="3" max="3" width="22.42578125" customWidth="1"/>
    <col min="6" max="6" width="11.85546875" customWidth="1"/>
    <col min="9" max="9" width="36.42578125" customWidth="1"/>
  </cols>
  <sheetData>
    <row r="3" spans="3:7" x14ac:dyDescent="0.25">
      <c r="C3" t="s">
        <v>32</v>
      </c>
    </row>
    <row r="4" spans="3:7" x14ac:dyDescent="0.25">
      <c r="D4">
        <v>1</v>
      </c>
      <c r="E4">
        <v>2</v>
      </c>
      <c r="F4">
        <v>3</v>
      </c>
      <c r="G4">
        <v>4</v>
      </c>
    </row>
    <row r="5" spans="3:7" x14ac:dyDescent="0.25">
      <c r="D5" t="s">
        <v>11</v>
      </c>
    </row>
    <row r="6" spans="3:7" x14ac:dyDescent="0.25">
      <c r="E6" t="s">
        <v>11</v>
      </c>
      <c r="F6" t="s">
        <v>11</v>
      </c>
      <c r="G6" t="s">
        <v>11</v>
      </c>
    </row>
    <row r="7" spans="3:7" x14ac:dyDescent="0.25">
      <c r="D7" t="s">
        <v>12</v>
      </c>
      <c r="E7" t="s">
        <v>13</v>
      </c>
      <c r="F7" t="s">
        <v>12</v>
      </c>
      <c r="G7" t="s">
        <v>12</v>
      </c>
    </row>
    <row r="9" spans="3:7" x14ac:dyDescent="0.25">
      <c r="C9" t="s">
        <v>14</v>
      </c>
      <c r="D9" t="s">
        <v>1</v>
      </c>
      <c r="E9" t="s">
        <v>1</v>
      </c>
      <c r="F9" t="s">
        <v>1</v>
      </c>
      <c r="G9" t="s">
        <v>1</v>
      </c>
    </row>
    <row r="10" spans="3:7" x14ac:dyDescent="0.25">
      <c r="C10" t="s">
        <v>4</v>
      </c>
      <c r="D10" t="s">
        <v>1</v>
      </c>
      <c r="E10" t="s">
        <v>1</v>
      </c>
      <c r="F10" t="s">
        <v>1</v>
      </c>
      <c r="G10" t="s">
        <v>1</v>
      </c>
    </row>
    <row r="11" spans="3:7" x14ac:dyDescent="0.25">
      <c r="C11" t="s">
        <v>7</v>
      </c>
      <c r="D11">
        <v>1</v>
      </c>
      <c r="E11">
        <v>0</v>
      </c>
      <c r="F11" s="1">
        <v>9.6770399999999998E-5</v>
      </c>
      <c r="G11">
        <v>0.99990319999999999</v>
      </c>
    </row>
    <row r="12" spans="3:7" x14ac:dyDescent="0.25">
      <c r="C12" t="s">
        <v>8</v>
      </c>
      <c r="D12">
        <v>1</v>
      </c>
      <c r="E12">
        <v>0</v>
      </c>
      <c r="F12">
        <v>0.99910739999999998</v>
      </c>
      <c r="G12" s="1">
        <v>8.9263700000000005E-4</v>
      </c>
    </row>
    <row r="13" spans="3:7" x14ac:dyDescent="0.25">
      <c r="C13" t="s">
        <v>9</v>
      </c>
      <c r="D13" s="1">
        <v>5.0000000000000001E-3</v>
      </c>
      <c r="E13">
        <v>0</v>
      </c>
      <c r="F13" s="1">
        <v>6.2634599999999996E-4</v>
      </c>
      <c r="G13" s="1">
        <v>4.3736499999999998E-3</v>
      </c>
    </row>
    <row r="14" spans="3:7" x14ac:dyDescent="0.25">
      <c r="C14" t="s">
        <v>10</v>
      </c>
      <c r="D14" t="s">
        <v>1</v>
      </c>
      <c r="E14" t="s">
        <v>1</v>
      </c>
      <c r="F14" t="s">
        <v>1</v>
      </c>
      <c r="G14" t="s">
        <v>1</v>
      </c>
    </row>
    <row r="15" spans="3:7" x14ac:dyDescent="0.25">
      <c r="C15" t="s">
        <v>7</v>
      </c>
      <c r="D15">
        <v>0.4987531</v>
      </c>
      <c r="E15">
        <v>0</v>
      </c>
      <c r="F15" s="1">
        <v>9.67869E-5</v>
      </c>
      <c r="G15">
        <v>0.9947608</v>
      </c>
    </row>
    <row r="16" spans="3:7" x14ac:dyDescent="0.25">
      <c r="C16" t="s">
        <v>8</v>
      </c>
      <c r="D16">
        <v>0.4987531</v>
      </c>
      <c r="E16">
        <v>0</v>
      </c>
      <c r="F16">
        <v>0.99927679999999997</v>
      </c>
      <c r="G16" s="1">
        <v>8.8804599999999997E-4</v>
      </c>
    </row>
    <row r="17" spans="3:13" x14ac:dyDescent="0.25">
      <c r="C17" t="s">
        <v>9</v>
      </c>
      <c r="D17" s="1">
        <v>2.4937700000000002E-3</v>
      </c>
      <c r="E17">
        <v>0</v>
      </c>
      <c r="F17" s="1">
        <v>6.26452E-4</v>
      </c>
      <c r="G17" s="1">
        <v>4.3511599999999998E-3</v>
      </c>
    </row>
    <row r="18" spans="3:13" x14ac:dyDescent="0.25">
      <c r="C18" t="s">
        <v>15</v>
      </c>
      <c r="D18">
        <v>2.0049999999999999</v>
      </c>
      <c r="E18">
        <v>0</v>
      </c>
      <c r="F18">
        <v>0.99983049999999996</v>
      </c>
      <c r="G18">
        <v>1.0051699999999999</v>
      </c>
      <c r="M18">
        <f>0.04*0.097332</f>
        <v>3.8932800000000003E-3</v>
      </c>
    </row>
    <row r="19" spans="3:13" x14ac:dyDescent="0.25">
      <c r="C19" t="s">
        <v>16</v>
      </c>
      <c r="D19">
        <v>172.6361</v>
      </c>
      <c r="E19">
        <v>0</v>
      </c>
      <c r="F19">
        <v>18.114180000000001</v>
      </c>
      <c r="G19">
        <v>154.52189999999999</v>
      </c>
    </row>
    <row r="20" spans="3:13" x14ac:dyDescent="0.25">
      <c r="C20" t="s">
        <v>17</v>
      </c>
      <c r="D20">
        <v>0.109514</v>
      </c>
      <c r="E20">
        <v>0</v>
      </c>
      <c r="F20">
        <v>1.8144799999999999E-2</v>
      </c>
      <c r="G20">
        <v>9.7332299999999997E-2</v>
      </c>
      <c r="I20" t="s">
        <v>29</v>
      </c>
      <c r="J20" s="1">
        <f>G13/G20</f>
        <v>4.4935237326149693E-2</v>
      </c>
    </row>
    <row r="21" spans="3:13" x14ac:dyDescent="0.25">
      <c r="C21" t="s">
        <v>0</v>
      </c>
      <c r="D21">
        <v>25</v>
      </c>
      <c r="E21" t="s">
        <v>1</v>
      </c>
      <c r="F21">
        <v>25</v>
      </c>
      <c r="G21">
        <v>25</v>
      </c>
      <c r="I21" t="s">
        <v>30</v>
      </c>
      <c r="J21" s="1">
        <f>F13/F20</f>
        <v>3.4519311317843131E-2</v>
      </c>
    </row>
    <row r="22" spans="3:13" x14ac:dyDescent="0.25">
      <c r="C22" t="s">
        <v>2</v>
      </c>
      <c r="D22">
        <v>10</v>
      </c>
      <c r="E22">
        <v>10</v>
      </c>
      <c r="F22">
        <v>10</v>
      </c>
      <c r="G22">
        <v>10</v>
      </c>
    </row>
    <row r="23" spans="3:13" x14ac:dyDescent="0.25">
      <c r="C23" t="s">
        <v>3</v>
      </c>
      <c r="D23">
        <v>0</v>
      </c>
      <c r="E23" t="s">
        <v>1</v>
      </c>
      <c r="F23">
        <v>0</v>
      </c>
      <c r="G23">
        <v>0</v>
      </c>
      <c r="I23" t="s">
        <v>31</v>
      </c>
      <c r="J23" s="1">
        <f>J20/J21</f>
        <v>1.3017419992073405</v>
      </c>
    </row>
    <row r="24" spans="3:13" x14ac:dyDescent="0.25">
      <c r="C24" t="s">
        <v>18</v>
      </c>
      <c r="D24">
        <v>1</v>
      </c>
      <c r="E24" t="s">
        <v>1</v>
      </c>
      <c r="F24">
        <v>1</v>
      </c>
      <c r="G24">
        <v>1</v>
      </c>
    </row>
    <row r="25" spans="3:13" x14ac:dyDescent="0.25">
      <c r="C25" t="s">
        <v>19</v>
      </c>
      <c r="D25">
        <v>0</v>
      </c>
      <c r="E25" t="s">
        <v>1</v>
      </c>
      <c r="F25">
        <v>0</v>
      </c>
      <c r="G25">
        <v>0</v>
      </c>
    </row>
    <row r="26" spans="3:13" x14ac:dyDescent="0.25">
      <c r="C26" t="s">
        <v>20</v>
      </c>
      <c r="D26">
        <v>-49.188360000000003</v>
      </c>
      <c r="E26" t="s">
        <v>1</v>
      </c>
      <c r="F26">
        <v>-68.185249999999996</v>
      </c>
      <c r="G26">
        <v>-30.513539999999999</v>
      </c>
    </row>
    <row r="27" spans="3:13" x14ac:dyDescent="0.25">
      <c r="C27" t="s">
        <v>21</v>
      </c>
      <c r="D27">
        <v>-571.27470000000005</v>
      </c>
      <c r="E27" t="s">
        <v>1</v>
      </c>
      <c r="F27">
        <v>-3763.5540000000001</v>
      </c>
      <c r="G27">
        <v>-198.4914</v>
      </c>
    </row>
    <row r="28" spans="3:13" x14ac:dyDescent="0.25">
      <c r="C28" t="s">
        <v>6</v>
      </c>
      <c r="D28">
        <v>-9.8622600000000005E-2</v>
      </c>
      <c r="E28" t="s">
        <v>1</v>
      </c>
      <c r="F28">
        <v>-6.8173600000000001E-2</v>
      </c>
      <c r="G28">
        <v>-3.0671199999999999E-2</v>
      </c>
    </row>
    <row r="29" spans="3:13" x14ac:dyDescent="0.25">
      <c r="C29" t="s">
        <v>22</v>
      </c>
      <c r="D29">
        <v>-48.253169999999997</v>
      </c>
      <c r="E29" t="s">
        <v>1</v>
      </c>
      <c r="F29">
        <v>-38.818150000000003</v>
      </c>
      <c r="G29">
        <v>-55.710529999999999</v>
      </c>
    </row>
    <row r="30" spans="3:13" x14ac:dyDescent="0.25">
      <c r="C30" t="s">
        <v>23</v>
      </c>
      <c r="D30">
        <v>-0.56041339999999995</v>
      </c>
      <c r="E30" t="s">
        <v>1</v>
      </c>
      <c r="F30">
        <v>-2.1426069999999999</v>
      </c>
      <c r="G30">
        <v>-0.36239860000000002</v>
      </c>
    </row>
    <row r="31" spans="3:13" x14ac:dyDescent="0.25">
      <c r="C31" t="s">
        <v>24</v>
      </c>
      <c r="D31">
        <v>18.308160000000001</v>
      </c>
      <c r="E31" t="s">
        <v>1</v>
      </c>
      <c r="F31">
        <v>55.102789999999999</v>
      </c>
      <c r="G31">
        <v>10.32719</v>
      </c>
    </row>
    <row r="32" spans="3:13" x14ac:dyDescent="0.25">
      <c r="C32" t="s">
        <v>25</v>
      </c>
      <c r="D32">
        <v>1576.384</v>
      </c>
      <c r="E32" t="s">
        <v>1</v>
      </c>
      <c r="F32">
        <v>998.31110000000001</v>
      </c>
      <c r="G32">
        <v>1587.57</v>
      </c>
    </row>
    <row r="33" spans="3:7" x14ac:dyDescent="0.25">
      <c r="C33" t="s">
        <v>26</v>
      </c>
      <c r="D33">
        <v>86.102800000000002</v>
      </c>
      <c r="E33" t="s">
        <v>1</v>
      </c>
      <c r="F33">
        <v>18.117249999999999</v>
      </c>
      <c r="G33">
        <v>153.72720000000001</v>
      </c>
    </row>
    <row r="34" spans="3:7" x14ac:dyDescent="0.25">
      <c r="C34" t="s">
        <v>27</v>
      </c>
      <c r="D34">
        <v>0.11544690000000001</v>
      </c>
      <c r="E34">
        <v>0</v>
      </c>
      <c r="F34">
        <v>1.8075500000000001E-2</v>
      </c>
      <c r="G34">
        <v>9.7371299999999994E-2</v>
      </c>
    </row>
    <row r="35" spans="3:7" x14ac:dyDescent="0.25">
      <c r="C35" t="s">
        <v>28</v>
      </c>
      <c r="D35" t="s">
        <v>1</v>
      </c>
      <c r="E35" t="s">
        <v>1</v>
      </c>
      <c r="F35" t="s">
        <v>1</v>
      </c>
      <c r="G35" t="s">
        <v>1</v>
      </c>
    </row>
    <row r="36" spans="3:7" x14ac:dyDescent="0.25">
      <c r="C36" t="s">
        <v>7</v>
      </c>
      <c r="D36">
        <v>0.84142150000000004</v>
      </c>
      <c r="E36">
        <v>0</v>
      </c>
      <c r="F36" s="1">
        <v>5.2005300000000003E-4</v>
      </c>
      <c r="G36">
        <v>0.99752220000000003</v>
      </c>
    </row>
    <row r="37" spans="3:7" x14ac:dyDescent="0.25">
      <c r="C37" t="s">
        <v>8</v>
      </c>
      <c r="D37">
        <v>0.15634890000000001</v>
      </c>
      <c r="E37">
        <v>0</v>
      </c>
      <c r="F37">
        <v>0.99769609999999997</v>
      </c>
      <c r="G37" s="1">
        <v>1.6547099999999999E-4</v>
      </c>
    </row>
    <row r="38" spans="3:7" x14ac:dyDescent="0.25">
      <c r="C38" t="s">
        <v>9</v>
      </c>
      <c r="D38" s="1">
        <v>2.2295800000000001E-3</v>
      </c>
      <c r="E38">
        <v>0</v>
      </c>
      <c r="F38" s="1">
        <v>1.78385E-3</v>
      </c>
      <c r="G38" s="1">
        <v>2.3123200000000001E-3</v>
      </c>
    </row>
    <row r="39" spans="3:7" x14ac:dyDescent="0.25">
      <c r="C39" t="s">
        <v>5</v>
      </c>
      <c r="D39" t="s">
        <v>1</v>
      </c>
      <c r="E39" t="s">
        <v>1</v>
      </c>
      <c r="F39" t="s">
        <v>1</v>
      </c>
      <c r="G39" t="s">
        <v>1</v>
      </c>
    </row>
    <row r="40" spans="3:7" x14ac:dyDescent="0.25">
      <c r="C40" t="s">
        <v>7</v>
      </c>
      <c r="D40">
        <v>153.8218</v>
      </c>
      <c r="E40">
        <v>0</v>
      </c>
      <c r="F40">
        <v>1.48854E-2</v>
      </c>
      <c r="G40">
        <v>153.80690000000001</v>
      </c>
    </row>
    <row r="41" spans="3:7" x14ac:dyDescent="0.25">
      <c r="C41" t="s">
        <v>8</v>
      </c>
      <c r="D41">
        <v>18.015280000000001</v>
      </c>
      <c r="E41">
        <v>0</v>
      </c>
      <c r="F41">
        <v>17.999199999999998</v>
      </c>
      <c r="G41">
        <v>1.6081100000000001E-2</v>
      </c>
    </row>
    <row r="42" spans="3:7" x14ac:dyDescent="0.25">
      <c r="C42" t="s">
        <v>9</v>
      </c>
      <c r="D42">
        <v>0.79903999999999997</v>
      </c>
      <c r="E42">
        <v>0</v>
      </c>
      <c r="F42">
        <v>0.10009510000000001</v>
      </c>
      <c r="G42">
        <v>0.69894489999999998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2012-10-03T15:40:30Z</dcterms:created>
  <dcterms:modified xsi:type="dcterms:W3CDTF">2012-10-03T23:43:50Z</dcterms:modified>
</cp:coreProperties>
</file>