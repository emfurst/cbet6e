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1" i="1" l="1"/>
  <c r="D28" i="1"/>
  <c r="D26" i="1"/>
  <c r="D27" i="1"/>
  <c r="D29" i="1"/>
</calcChain>
</file>

<file path=xl/sharedStrings.xml><?xml version="1.0" encoding="utf-8"?>
<sst xmlns="http://schemas.openxmlformats.org/spreadsheetml/2006/main" count="45" uniqueCount="32">
  <si>
    <t>1COND</t>
  </si>
  <si>
    <t>2PUMP</t>
  </si>
  <si>
    <t>3BOIL</t>
  </si>
  <si>
    <t>4TURB</t>
  </si>
  <si>
    <t>PUMP</t>
  </si>
  <si>
    <t>BOIL</t>
  </si>
  <si>
    <t>TURBINE</t>
  </si>
  <si>
    <t>COND</t>
  </si>
  <si>
    <t>LIQUID</t>
  </si>
  <si>
    <t>VAPOR</t>
  </si>
  <si>
    <t xml:space="preserve">Substream: MIXED          </t>
  </si>
  <si>
    <t xml:space="preserve"> </t>
  </si>
  <si>
    <t xml:space="preserve">Mole Flow   kmol/sec      </t>
  </si>
  <si>
    <t xml:space="preserve">  H2O                     </t>
  </si>
  <si>
    <t xml:space="preserve">Total Flow  kmol/sec      </t>
  </si>
  <si>
    <t xml:space="preserve">Total Flow  kg/sec        </t>
  </si>
  <si>
    <t xml:space="preserve">Total Flow  cum/sec       </t>
  </si>
  <si>
    <t xml:space="preserve">Temperature K             </t>
  </si>
  <si>
    <t xml:space="preserve">Pressure    N/sqm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</si>
  <si>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</si>
  <si>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</si>
  <si>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</si>
  <si>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J/kmol        </t>
  </si>
  <si>
    <t xml:space="preserve">Enthalpy    J/kg          </t>
  </si>
  <si>
    <t xml:space="preserve">Enthalpy    Watt          </t>
  </si>
  <si>
    <t xml:space="preserve">Entropy     J/kmol-K      </t>
  </si>
  <si>
    <t xml:space="preserve">Entropy     J/kg-K        </t>
  </si>
  <si>
    <t>Q</t>
  </si>
  <si>
    <t>efficiency</t>
  </si>
  <si>
    <t>W pump</t>
  </si>
  <si>
    <t>W turbine</t>
  </si>
  <si>
    <t>W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</si>
</sst>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1"/>
  <sheetViews>
    <sheetView tabSelected="1" topLeftCell="A4" workbookViewId="0">
      <selection activeCell="D32" sqref="D32"/>
    </sheetView>
  </sheetViews>
  <sheetFormatPr defaultRowHeight="15" x14ac:dyDescent="0.25"/>
  <cols>
    <col min="3" max="3" width="21.7109375" customWidth="1"/>
    <col min="4" max="4" width="10.5703125" bestFit="1" customWidth="1"/>
  </cols>
  <sheetData>
    <row r="3" spans="3:7" x14ac:dyDescent="0.25">
      <c r="D3" t="s">
        <v>0</v>
      </c>
      <c r="E3" t="s">
        <v>1</v>
      </c>
      <c r="F3" t="s">
        <v>2</v>
      </c>
      <c r="G3" t="s">
        <v>3</v>
      </c>
    </row>
    <row r="4" spans="3:7" x14ac:dyDescent="0.25">
      <c r="D4" t="s">
        <v>4</v>
      </c>
      <c r="E4" t="s">
        <v>5</v>
      </c>
      <c r="F4" t="s">
        <v>6</v>
      </c>
      <c r="G4" t="s">
        <v>7</v>
      </c>
    </row>
    <row r="5" spans="3:7" x14ac:dyDescent="0.25">
      <c r="D5" t="s">
        <v>7</v>
      </c>
      <c r="E5" t="s">
        <v>4</v>
      </c>
      <c r="F5" t="s">
        <v>5</v>
      </c>
      <c r="G5" t="s">
        <v>6</v>
      </c>
    </row>
    <row r="6" spans="3:7" x14ac:dyDescent="0.25">
      <c r="D6" t="s">
        <v>8</v>
      </c>
      <c r="E6" t="s">
        <v>8</v>
      </c>
      <c r="F6" t="s">
        <v>9</v>
      </c>
      <c r="G6" t="s">
        <v>9</v>
      </c>
    </row>
    <row r="8" spans="3:7" x14ac:dyDescent="0.25">
      <c r="C8" t="s">
        <v>10</v>
      </c>
      <c r="D8" t="s">
        <v>11</v>
      </c>
      <c r="E8" t="s">
        <v>11</v>
      </c>
      <c r="F8" t="s">
        <v>11</v>
      </c>
      <c r="G8" t="s">
        <v>11</v>
      </c>
    </row>
    <row r="9" spans="3:7" x14ac:dyDescent="0.25">
      <c r="C9" t="s">
        <v>12</v>
      </c>
      <c r="D9" t="s">
        <v>11</v>
      </c>
      <c r="E9" t="s">
        <v>11</v>
      </c>
      <c r="F9" t="s">
        <v>11</v>
      </c>
      <c r="G9" t="s">
        <v>11</v>
      </c>
    </row>
    <row r="10" spans="3:7" x14ac:dyDescent="0.25">
      <c r="C10" t="s">
        <v>13</v>
      </c>
      <c r="D10">
        <v>1.66666E-2</v>
      </c>
      <c r="E10">
        <v>1.66666E-2</v>
      </c>
      <c r="F10">
        <v>1.66666E-2</v>
      </c>
      <c r="G10">
        <v>1.66666E-2</v>
      </c>
    </row>
    <row r="11" spans="3:7" x14ac:dyDescent="0.25">
      <c r="C11" t="s">
        <v>14</v>
      </c>
      <c r="D11">
        <v>1.66666E-2</v>
      </c>
      <c r="E11">
        <v>1.66666E-2</v>
      </c>
      <c r="F11">
        <v>1.66666E-2</v>
      </c>
      <c r="G11">
        <v>1.66666E-2</v>
      </c>
    </row>
    <row r="12" spans="3:7" x14ac:dyDescent="0.25">
      <c r="C12" t="s">
        <v>15</v>
      </c>
      <c r="D12">
        <v>0.30025469999999999</v>
      </c>
      <c r="E12">
        <v>0.30025469999999999</v>
      </c>
      <c r="F12">
        <v>0.30025469999999999</v>
      </c>
      <c r="G12">
        <v>0.30025469999999999</v>
      </c>
    </row>
    <row r="13" spans="3:7" x14ac:dyDescent="0.25">
      <c r="C13" t="s">
        <v>16</v>
      </c>
      <c r="D13" s="1">
        <v>3.1330399999999998E-4</v>
      </c>
      <c r="E13" s="1">
        <v>3.1290799999999998E-4</v>
      </c>
      <c r="F13">
        <v>3.9767400000000001E-2</v>
      </c>
      <c r="G13">
        <v>0.54515729999999996</v>
      </c>
    </row>
    <row r="14" spans="3:7" x14ac:dyDescent="0.25">
      <c r="C14" t="s">
        <v>17</v>
      </c>
      <c r="D14">
        <v>373.15</v>
      </c>
      <c r="E14">
        <v>373.351</v>
      </c>
      <c r="F14">
        <v>873.15</v>
      </c>
      <c r="G14">
        <v>402.78870000000001</v>
      </c>
    </row>
    <row r="15" spans="3:7" x14ac:dyDescent="0.25">
      <c r="C15" t="s">
        <v>18</v>
      </c>
      <c r="D15" s="1">
        <v>101418</v>
      </c>
      <c r="E15" s="1">
        <v>3000000</v>
      </c>
      <c r="F15" s="1">
        <v>3000000</v>
      </c>
      <c r="G15" s="1">
        <v>101300</v>
      </c>
    </row>
    <row r="16" spans="3:7" x14ac:dyDescent="0.25">
      <c r="C16" t="s">
        <v>19</v>
      </c>
      <c r="D16">
        <v>0</v>
      </c>
      <c r="E16">
        <v>0</v>
      </c>
      <c r="F16">
        <v>1</v>
      </c>
      <c r="G16">
        <v>1</v>
      </c>
    </row>
    <row r="17" spans="3:7" x14ac:dyDescent="0.25">
      <c r="C17" t="s">
        <v>20</v>
      </c>
      <c r="D17">
        <v>1</v>
      </c>
      <c r="E17">
        <v>1</v>
      </c>
      <c r="F17">
        <v>0</v>
      </c>
      <c r="G17">
        <v>0</v>
      </c>
    </row>
    <row r="18" spans="3:7" x14ac:dyDescent="0.25">
      <c r="C18" t="s">
        <v>21</v>
      </c>
      <c r="D18">
        <v>0</v>
      </c>
      <c r="E18">
        <v>0</v>
      </c>
      <c r="F18">
        <v>0</v>
      </c>
      <c r="G18">
        <v>0</v>
      </c>
    </row>
    <row r="19" spans="3:7" x14ac:dyDescent="0.25">
      <c r="C19" t="s">
        <v>22</v>
      </c>
      <c r="D19" s="1">
        <v>-280170000</v>
      </c>
      <c r="E19" s="1">
        <v>-280110000</v>
      </c>
      <c r="F19" s="1">
        <v>-221370000</v>
      </c>
      <c r="G19" s="1">
        <v>-238430000</v>
      </c>
    </row>
    <row r="20" spans="3:7" x14ac:dyDescent="0.25">
      <c r="C20" t="s">
        <v>23</v>
      </c>
      <c r="D20" s="1">
        <v>-15552000</v>
      </c>
      <c r="E20" s="1">
        <v>-15549000</v>
      </c>
      <c r="F20" s="1">
        <v>-12288000</v>
      </c>
      <c r="G20" s="1">
        <v>-13235000</v>
      </c>
    </row>
    <row r="21" spans="3:7" x14ac:dyDescent="0.25">
      <c r="C21" t="s">
        <v>24</v>
      </c>
      <c r="D21" s="1">
        <v>-4669400</v>
      </c>
      <c r="E21" s="1">
        <v>-4668500</v>
      </c>
      <c r="F21" s="1">
        <v>-3689500</v>
      </c>
      <c r="G21" s="1">
        <v>-3973800</v>
      </c>
    </row>
    <row r="22" spans="3:7" x14ac:dyDescent="0.25">
      <c r="C22" t="s">
        <v>25</v>
      </c>
      <c r="D22" s="1">
        <v>-146220</v>
      </c>
      <c r="E22" s="1">
        <v>-146220</v>
      </c>
      <c r="F22">
        <v>-34474.120000000003</v>
      </c>
      <c r="G22">
        <v>-34474.120000000003</v>
      </c>
    </row>
    <row r="23" spans="3:7" x14ac:dyDescent="0.25">
      <c r="C23" t="s">
        <v>26</v>
      </c>
      <c r="D23">
        <v>-8116.6549999999997</v>
      </c>
      <c r="E23">
        <v>-8116.65</v>
      </c>
      <c r="F23">
        <v>-1913.605</v>
      </c>
      <c r="G23">
        <v>-1913.605</v>
      </c>
    </row>
    <row r="26" spans="3:7" x14ac:dyDescent="0.25">
      <c r="C26" t="s">
        <v>29</v>
      </c>
      <c r="D26" s="1">
        <f>E20-D20</f>
        <v>3000</v>
      </c>
    </row>
    <row r="27" spans="3:7" x14ac:dyDescent="0.25">
      <c r="C27" t="s">
        <v>30</v>
      </c>
      <c r="D27" s="2">
        <f>(F20-G20)</f>
        <v>947000</v>
      </c>
    </row>
    <row r="28" spans="3:7" x14ac:dyDescent="0.25">
      <c r="C28" t="s">
        <v>31</v>
      </c>
      <c r="D28" s="2">
        <f>D27-D26</f>
        <v>944000</v>
      </c>
    </row>
    <row r="29" spans="3:7" x14ac:dyDescent="0.25">
      <c r="C29" t="s">
        <v>27</v>
      </c>
      <c r="D29" s="2">
        <f>F20-E20</f>
        <v>3261000</v>
      </c>
    </row>
    <row r="31" spans="3:7" x14ac:dyDescent="0.25">
      <c r="C31" t="s">
        <v>28</v>
      </c>
      <c r="D31" s="2">
        <f>D28/D29</f>
        <v>0.28948175406317078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2012-09-30T18:35:55Z</dcterms:created>
  <dcterms:modified xsi:type="dcterms:W3CDTF">2012-09-30T18:46:21Z</dcterms:modified>
</cp:coreProperties>
</file>