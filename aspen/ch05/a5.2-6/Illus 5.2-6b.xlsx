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M48" i="1" l="1"/>
  <c r="O48" i="1" s="1"/>
  <c r="M44" i="1"/>
  <c r="O44" i="1" s="1"/>
  <c r="M51" i="1" s="1"/>
  <c r="M18" i="1"/>
  <c r="O18" i="1" s="1"/>
  <c r="M14" i="1"/>
  <c r="O14" i="1" l="1"/>
  <c r="M21" i="1" s="1"/>
</calcChain>
</file>

<file path=xl/sharedStrings.xml><?xml version="1.0" encoding="utf-8"?>
<sst xmlns="http://schemas.openxmlformats.org/spreadsheetml/2006/main" count="96" uniqueCount="37">
  <si>
    <t>1COND</t>
  </si>
  <si>
    <t>2EXP</t>
  </si>
  <si>
    <t>3EVAP</t>
  </si>
  <si>
    <t>4COMP</t>
  </si>
  <si>
    <t>B2VALV</t>
  </si>
  <si>
    <t>B3EVAP</t>
  </si>
  <si>
    <t>B4COMP</t>
  </si>
  <si>
    <t>B1COND</t>
  </si>
  <si>
    <t>LIQUID</t>
  </si>
  <si>
    <t>MIXED</t>
  </si>
  <si>
    <t>VAPOR</t>
  </si>
  <si>
    <t xml:space="preserve">Substream: MIXED          </t>
  </si>
  <si>
    <t xml:space="preserve"> </t>
  </si>
  <si>
    <t xml:space="preserve">Mole Flow   kmol/hr       </t>
  </si>
  <si>
    <t xml:space="preserve">  C2H2F-01                </t>
  </si>
  <si>
    <t xml:space="preserve">Total Flow  kmol/hr       </t>
  </si>
  <si>
    <t xml:space="preserve">Total Flow  kg/hr         </t>
  </si>
  <si>
    <t xml:space="preserve">Total Flow  l/min         </t>
  </si>
  <si>
    <t xml:space="preserve">Temperature K             </t>
  </si>
  <si>
    <t xml:space="preserve">Pressure    atm           </t>
  </si>
  <si>
    <t xml:space="preserve">Vapor Frac                </t>
  </si>
  <si>
    <t xml:space="preserve">Liquid Frac               </t>
  </si>
  <si>
    <t xml:space="preserve">Solid Frac                </t>
  </si>
  <si>
    <t xml:space="preserve">Enthalpy    cal/mol       </t>
  </si>
  <si>
    <t xml:space="preserve">Enthalpy    cal/gm        </t>
  </si>
  <si>
    <t xml:space="preserve">Enthalpy    cal/sec       </t>
  </si>
  <si>
    <t xml:space="preserve">Entropy     cal/mol-K     </t>
  </si>
  <si>
    <t xml:space="preserve">Entropy     cal/gm-K      </t>
  </si>
  <si>
    <t xml:space="preserve">Density     mol/cc        </t>
  </si>
  <si>
    <t xml:space="preserve">Density     gm/cc         </t>
  </si>
  <si>
    <t xml:space="preserve">Average MW                </t>
  </si>
  <si>
    <t xml:space="preserve">Liq Vol 60F l/min         </t>
  </si>
  <si>
    <t>cal/g  =</t>
  </si>
  <si>
    <t>kJ/kg</t>
  </si>
  <si>
    <t>cal/g=</t>
  </si>
  <si>
    <t>Compared to C.O.P. = 4.28 in the text from reading the chart</t>
  </si>
  <si>
    <t>Compared to C.O.P. = 4.45 in the text from reading the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</si>
</sst>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133350</xdr:colOff>
      <xdr:row>12</xdr:row>
      <xdr:rowOff>133350</xdr:rowOff>
    </xdr:from>
    <xdr:ext cx="1703608" cy="264560"/>
    <xdr:sp macro="" textlink="">
      <xdr:nvSpPr>
        <xdr:cNvPr id="2" name="TextBox 1"/>
        <xdr:cNvSpPr txBox="1"/>
      </xdr:nvSpPr>
      <xdr:spPr>
        <a:xfrm>
          <a:off x="6172200" y="2038350"/>
          <a:ext cx="17036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QEvap=(H3EVAP-H2EXP)=</a:t>
          </a:r>
        </a:p>
      </xdr:txBody>
    </xdr:sp>
    <xdr:clientData/>
  </xdr:oneCellAnchor>
  <xdr:oneCellAnchor>
    <xdr:from>
      <xdr:col>8</xdr:col>
      <xdr:colOff>142875</xdr:colOff>
      <xdr:row>16</xdr:row>
      <xdr:rowOff>142875</xdr:rowOff>
    </xdr:from>
    <xdr:ext cx="1900200" cy="264560"/>
    <xdr:sp macro="" textlink="">
      <xdr:nvSpPr>
        <xdr:cNvPr id="3" name="TextBox 2"/>
        <xdr:cNvSpPr txBox="1"/>
      </xdr:nvSpPr>
      <xdr:spPr>
        <a:xfrm>
          <a:off x="6181725" y="2809875"/>
          <a:ext cx="19002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WComp=(H4COMP-H3EVAP)=</a:t>
          </a:r>
        </a:p>
      </xdr:txBody>
    </xdr:sp>
    <xdr:clientData/>
  </xdr:oneCellAnchor>
  <xdr:oneCellAnchor>
    <xdr:from>
      <xdr:col>8</xdr:col>
      <xdr:colOff>76200</xdr:colOff>
      <xdr:row>19</xdr:row>
      <xdr:rowOff>171450</xdr:rowOff>
    </xdr:from>
    <xdr:ext cx="1559081" cy="264560"/>
    <xdr:sp macro="" textlink="">
      <xdr:nvSpPr>
        <xdr:cNvPr id="4" name="TextBox 3"/>
        <xdr:cNvSpPr txBox="1"/>
      </xdr:nvSpPr>
      <xdr:spPr>
        <a:xfrm>
          <a:off x="6115050" y="3409950"/>
          <a:ext cx="1559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C.O.P.=QEvap/WComp=</a:t>
          </a:r>
        </a:p>
      </xdr:txBody>
    </xdr:sp>
    <xdr:clientData/>
  </xdr:oneCellAnchor>
  <xdr:oneCellAnchor>
    <xdr:from>
      <xdr:col>1</xdr:col>
      <xdr:colOff>161925</xdr:colOff>
      <xdr:row>0</xdr:row>
      <xdr:rowOff>180975</xdr:rowOff>
    </xdr:from>
    <xdr:ext cx="1205651" cy="264560"/>
    <xdr:sp macro="" textlink="">
      <xdr:nvSpPr>
        <xdr:cNvPr id="5" name="TextBox 4"/>
        <xdr:cNvSpPr txBox="1"/>
      </xdr:nvSpPr>
      <xdr:spPr>
        <a:xfrm>
          <a:off x="771525" y="180975"/>
          <a:ext cx="12056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5.2-6b</a:t>
          </a:r>
        </a:p>
      </xdr:txBody>
    </xdr:sp>
    <xdr:clientData/>
  </xdr:oneCellAnchor>
  <xdr:oneCellAnchor>
    <xdr:from>
      <xdr:col>2</xdr:col>
      <xdr:colOff>38100</xdr:colOff>
      <xdr:row>4</xdr:row>
      <xdr:rowOff>0</xdr:rowOff>
    </xdr:from>
    <xdr:ext cx="1667123" cy="264560"/>
    <xdr:sp macro="" textlink="">
      <xdr:nvSpPr>
        <xdr:cNvPr id="6" name="TextBox 5"/>
        <xdr:cNvSpPr txBox="1"/>
      </xdr:nvSpPr>
      <xdr:spPr>
        <a:xfrm>
          <a:off x="1257300" y="762000"/>
          <a:ext cx="16671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Heating, winter operation</a:t>
          </a:r>
        </a:p>
      </xdr:txBody>
    </xdr:sp>
    <xdr:clientData/>
  </xdr:oneCellAnchor>
  <xdr:twoCellAnchor editAs="oneCell">
    <xdr:from>
      <xdr:col>8</xdr:col>
      <xdr:colOff>609599</xdr:colOff>
      <xdr:row>23</xdr:row>
      <xdr:rowOff>182297</xdr:rowOff>
    </xdr:from>
    <xdr:to>
      <xdr:col>13</xdr:col>
      <xdr:colOff>474616</xdr:colOff>
      <xdr:row>34</xdr:row>
      <xdr:rowOff>38100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49" y="4563797"/>
          <a:ext cx="2913017" cy="1951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76200</xdr:colOff>
      <xdr:row>33</xdr:row>
      <xdr:rowOff>9525</xdr:rowOff>
    </xdr:from>
    <xdr:ext cx="1750479" cy="264560"/>
    <xdr:sp macro="" textlink="">
      <xdr:nvSpPr>
        <xdr:cNvPr id="8" name="TextBox 7"/>
        <xdr:cNvSpPr txBox="1"/>
      </xdr:nvSpPr>
      <xdr:spPr>
        <a:xfrm>
          <a:off x="1295400" y="6296025"/>
          <a:ext cx="17504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Cooling, summer operation</a:t>
          </a:r>
        </a:p>
      </xdr:txBody>
    </xdr:sp>
    <xdr:clientData/>
  </xdr:oneCellAnchor>
  <xdr:oneCellAnchor>
    <xdr:from>
      <xdr:col>8</xdr:col>
      <xdr:colOff>133350</xdr:colOff>
      <xdr:row>42</xdr:row>
      <xdr:rowOff>133350</xdr:rowOff>
    </xdr:from>
    <xdr:ext cx="1703608" cy="264560"/>
    <xdr:sp macro="" textlink="">
      <xdr:nvSpPr>
        <xdr:cNvPr id="9" name="TextBox 8"/>
        <xdr:cNvSpPr txBox="1"/>
      </xdr:nvSpPr>
      <xdr:spPr>
        <a:xfrm>
          <a:off x="6172200" y="2419350"/>
          <a:ext cx="17036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QEvap=(H3EVAP-H2EXP)=</a:t>
          </a:r>
        </a:p>
      </xdr:txBody>
    </xdr:sp>
    <xdr:clientData/>
  </xdr:oneCellAnchor>
  <xdr:oneCellAnchor>
    <xdr:from>
      <xdr:col>8</xdr:col>
      <xdr:colOff>142875</xdr:colOff>
      <xdr:row>46</xdr:row>
      <xdr:rowOff>142875</xdr:rowOff>
    </xdr:from>
    <xdr:ext cx="1900200" cy="264560"/>
    <xdr:sp macro="" textlink="">
      <xdr:nvSpPr>
        <xdr:cNvPr id="10" name="TextBox 9"/>
        <xdr:cNvSpPr txBox="1"/>
      </xdr:nvSpPr>
      <xdr:spPr>
        <a:xfrm>
          <a:off x="6181725" y="3190875"/>
          <a:ext cx="19002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WComp=(H4COMP-H3EVAP)=</a:t>
          </a:r>
        </a:p>
      </xdr:txBody>
    </xdr:sp>
    <xdr:clientData/>
  </xdr:oneCellAnchor>
  <xdr:oneCellAnchor>
    <xdr:from>
      <xdr:col>8</xdr:col>
      <xdr:colOff>76200</xdr:colOff>
      <xdr:row>49</xdr:row>
      <xdr:rowOff>171450</xdr:rowOff>
    </xdr:from>
    <xdr:ext cx="1559081" cy="264560"/>
    <xdr:sp macro="" textlink="">
      <xdr:nvSpPr>
        <xdr:cNvPr id="11" name="TextBox 10"/>
        <xdr:cNvSpPr txBox="1"/>
      </xdr:nvSpPr>
      <xdr:spPr>
        <a:xfrm>
          <a:off x="6115050" y="3790950"/>
          <a:ext cx="1559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C.O.P.=QEvap/WComp=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P61"/>
  <sheetViews>
    <sheetView tabSelected="1" topLeftCell="A33" workbookViewId="0">
      <selection activeCell="M48" sqref="M48"/>
    </sheetView>
  </sheetViews>
  <sheetFormatPr defaultRowHeight="15" x14ac:dyDescent="0.25"/>
  <cols>
    <col min="3" max="3" width="26.5703125" customWidth="1"/>
  </cols>
  <sheetData>
    <row r="7" spans="3:16" x14ac:dyDescent="0.25">
      <c r="D7" t="s">
        <v>0</v>
      </c>
      <c r="E7" t="s">
        <v>1</v>
      </c>
      <c r="F7" t="s">
        <v>2</v>
      </c>
      <c r="G7" t="s">
        <v>3</v>
      </c>
    </row>
    <row r="8" spans="3:16" x14ac:dyDescent="0.25">
      <c r="D8" t="s">
        <v>4</v>
      </c>
      <c r="E8" t="s">
        <v>5</v>
      </c>
      <c r="F8" t="s">
        <v>6</v>
      </c>
      <c r="G8" t="s">
        <v>7</v>
      </c>
    </row>
    <row r="9" spans="3:16" x14ac:dyDescent="0.25">
      <c r="D9" t="s">
        <v>7</v>
      </c>
      <c r="E9" t="s">
        <v>4</v>
      </c>
      <c r="F9" t="s">
        <v>5</v>
      </c>
      <c r="G9" t="s">
        <v>6</v>
      </c>
    </row>
    <row r="10" spans="3:16" x14ac:dyDescent="0.25">
      <c r="D10" t="s">
        <v>8</v>
      </c>
      <c r="E10" t="s">
        <v>9</v>
      </c>
      <c r="F10" t="s">
        <v>10</v>
      </c>
      <c r="G10" t="s">
        <v>10</v>
      </c>
    </row>
    <row r="12" spans="3:16" x14ac:dyDescent="0.25">
      <c r="C12" t="s">
        <v>11</v>
      </c>
      <c r="D12" t="s">
        <v>12</v>
      </c>
      <c r="E12" t="s">
        <v>12</v>
      </c>
      <c r="F12" t="s">
        <v>12</v>
      </c>
      <c r="G12" t="s">
        <v>12</v>
      </c>
    </row>
    <row r="13" spans="3:16" x14ac:dyDescent="0.25">
      <c r="C13" t="s">
        <v>13</v>
      </c>
      <c r="D13" t="s">
        <v>12</v>
      </c>
      <c r="E13" t="s">
        <v>12</v>
      </c>
      <c r="F13" t="s">
        <v>12</v>
      </c>
      <c r="G13" t="s">
        <v>12</v>
      </c>
    </row>
    <row r="14" spans="3:16" x14ac:dyDescent="0.25">
      <c r="C14" t="s">
        <v>14</v>
      </c>
      <c r="D14" s="1">
        <v>9.8008999999999995E-3</v>
      </c>
      <c r="E14" s="1">
        <v>9.8008999999999995E-3</v>
      </c>
      <c r="F14" s="1">
        <v>9.8008999999999995E-3</v>
      </c>
      <c r="G14" s="1">
        <v>9.8008999999999995E-3</v>
      </c>
      <c r="M14" s="1">
        <f>(F24-E24)</f>
        <v>29.206000000000131</v>
      </c>
      <c r="N14" t="s">
        <v>32</v>
      </c>
      <c r="O14" s="1">
        <f>M14*4.184</f>
        <v>122.19790400000055</v>
      </c>
      <c r="P14" t="s">
        <v>33</v>
      </c>
    </row>
    <row r="15" spans="3:16" x14ac:dyDescent="0.25">
      <c r="C15" t="s">
        <v>15</v>
      </c>
      <c r="D15" s="1">
        <v>9.8008999999999995E-3</v>
      </c>
      <c r="E15" s="1">
        <v>9.8008999999999995E-3</v>
      </c>
      <c r="F15" s="1">
        <v>9.8008999999999995E-3</v>
      </c>
      <c r="G15" s="1">
        <v>9.8008999999999995E-3</v>
      </c>
    </row>
    <row r="16" spans="3:16" x14ac:dyDescent="0.25">
      <c r="C16" t="s">
        <v>16</v>
      </c>
      <c r="D16">
        <v>1</v>
      </c>
      <c r="E16">
        <v>1</v>
      </c>
      <c r="F16">
        <v>1</v>
      </c>
      <c r="G16">
        <v>1</v>
      </c>
    </row>
    <row r="17" spans="3:15" x14ac:dyDescent="0.25">
      <c r="C17" t="s">
        <v>17</v>
      </c>
      <c r="D17">
        <v>1.55052E-2</v>
      </c>
      <c r="E17">
        <v>0.38515199999999999</v>
      </c>
      <c r="F17">
        <v>0.98786980000000002</v>
      </c>
      <c r="G17">
        <v>0.22874849999999999</v>
      </c>
    </row>
    <row r="18" spans="3:15" x14ac:dyDescent="0.25">
      <c r="C18" t="s">
        <v>18</v>
      </c>
      <c r="D18">
        <v>328.15</v>
      </c>
      <c r="E18">
        <v>278.2559</v>
      </c>
      <c r="F18">
        <v>278.14999999999998</v>
      </c>
      <c r="G18">
        <v>331.87689999999998</v>
      </c>
      <c r="M18" s="1">
        <f>(G24-F24)</f>
        <v>7.2590000000000146</v>
      </c>
      <c r="N18" t="s">
        <v>34</v>
      </c>
      <c r="O18" s="1">
        <f>M18*4.184</f>
        <v>30.371656000000062</v>
      </c>
    </row>
    <row r="19" spans="3:15" x14ac:dyDescent="0.25">
      <c r="C19" t="s">
        <v>19</v>
      </c>
      <c r="D19">
        <v>14.72983</v>
      </c>
      <c r="E19">
        <v>3.4512710000000002</v>
      </c>
      <c r="F19">
        <v>3.4512710000000002</v>
      </c>
      <c r="G19">
        <v>14.72983</v>
      </c>
    </row>
    <row r="20" spans="3:15" x14ac:dyDescent="0.25">
      <c r="C20" t="s">
        <v>20</v>
      </c>
      <c r="D20">
        <v>0</v>
      </c>
      <c r="E20">
        <v>0.38152849999999999</v>
      </c>
      <c r="F20">
        <v>1</v>
      </c>
      <c r="G20">
        <v>1</v>
      </c>
    </row>
    <row r="21" spans="3:15" x14ac:dyDescent="0.25">
      <c r="C21" t="s">
        <v>21</v>
      </c>
      <c r="D21">
        <v>1</v>
      </c>
      <c r="E21">
        <v>0.61847149999999995</v>
      </c>
      <c r="F21">
        <v>0</v>
      </c>
      <c r="G21">
        <v>0</v>
      </c>
      <c r="M21" s="1">
        <f>O14/O18</f>
        <v>4.0234192037470828</v>
      </c>
    </row>
    <row r="22" spans="3:15" x14ac:dyDescent="0.25">
      <c r="C22" t="s">
        <v>22</v>
      </c>
      <c r="D22">
        <v>0</v>
      </c>
      <c r="E22">
        <v>0</v>
      </c>
      <c r="F22">
        <v>0</v>
      </c>
      <c r="G22">
        <v>0</v>
      </c>
    </row>
    <row r="23" spans="3:15" x14ac:dyDescent="0.25">
      <c r="C23" t="s">
        <v>23</v>
      </c>
      <c r="D23" s="1">
        <v>-217470</v>
      </c>
      <c r="E23" s="1">
        <v>-217470</v>
      </c>
      <c r="F23" s="1">
        <v>-214490</v>
      </c>
      <c r="G23" s="1">
        <v>-213750</v>
      </c>
      <c r="I23" t="s">
        <v>35</v>
      </c>
    </row>
    <row r="24" spans="3:15" x14ac:dyDescent="0.25">
      <c r="C24" t="s">
        <v>24</v>
      </c>
      <c r="D24">
        <v>-2131.4140000000002</v>
      </c>
      <c r="E24">
        <v>-2131.4140000000002</v>
      </c>
      <c r="F24">
        <v>-2102.2080000000001</v>
      </c>
      <c r="G24">
        <v>-2094.9490000000001</v>
      </c>
    </row>
    <row r="25" spans="3:15" x14ac:dyDescent="0.25">
      <c r="C25" t="s">
        <v>25</v>
      </c>
      <c r="D25">
        <v>-592.05949999999996</v>
      </c>
      <c r="E25">
        <v>-592.05949999999996</v>
      </c>
      <c r="F25">
        <v>-583.94659999999999</v>
      </c>
      <c r="G25">
        <v>-581.93029999999999</v>
      </c>
    </row>
    <row r="26" spans="3:15" x14ac:dyDescent="0.25">
      <c r="C26" t="s">
        <v>26</v>
      </c>
      <c r="D26">
        <v>-70.698530000000005</v>
      </c>
      <c r="E26">
        <v>-70.068610000000007</v>
      </c>
      <c r="F26">
        <v>-59.359059999999999</v>
      </c>
      <c r="G26">
        <v>-59.359020000000001</v>
      </c>
    </row>
    <row r="27" spans="3:15" x14ac:dyDescent="0.25">
      <c r="C27" t="s">
        <v>27</v>
      </c>
      <c r="D27">
        <v>-0.692909</v>
      </c>
      <c r="E27">
        <v>-0.68673530000000005</v>
      </c>
      <c r="F27">
        <v>-0.58177210000000001</v>
      </c>
      <c r="G27">
        <v>-0.58177160000000006</v>
      </c>
    </row>
    <row r="28" spans="3:15" x14ac:dyDescent="0.25">
      <c r="C28" t="s">
        <v>28</v>
      </c>
      <c r="D28">
        <v>1.0534999999999999E-2</v>
      </c>
      <c r="E28" s="1">
        <v>4.2411400000000001E-4</v>
      </c>
      <c r="F28" s="1">
        <v>1.6535399999999999E-4</v>
      </c>
      <c r="G28" s="1">
        <v>7.14096E-4</v>
      </c>
    </row>
    <row r="29" spans="3:15" x14ac:dyDescent="0.25">
      <c r="C29" t="s">
        <v>29</v>
      </c>
      <c r="D29">
        <v>1.0749070000000001</v>
      </c>
      <c r="E29">
        <v>4.3272900000000003E-2</v>
      </c>
      <c r="F29">
        <v>1.6871299999999999E-2</v>
      </c>
      <c r="G29">
        <v>7.28602E-2</v>
      </c>
    </row>
    <row r="30" spans="3:15" x14ac:dyDescent="0.25">
      <c r="C30" t="s">
        <v>30</v>
      </c>
      <c r="D30">
        <v>102.03149999999999</v>
      </c>
      <c r="E30">
        <v>102.03149999999999</v>
      </c>
      <c r="F30">
        <v>102.03149999999999</v>
      </c>
      <c r="G30">
        <v>102.03149999999999</v>
      </c>
    </row>
    <row r="31" spans="3:15" x14ac:dyDescent="0.25">
      <c r="C31" t="s">
        <v>31</v>
      </c>
      <c r="D31">
        <v>1.38254E-2</v>
      </c>
      <c r="E31">
        <v>1.38254E-2</v>
      </c>
      <c r="F31">
        <v>1.38254E-2</v>
      </c>
      <c r="G31">
        <v>1.38254E-2</v>
      </c>
    </row>
    <row r="37" spans="3:16" x14ac:dyDescent="0.25">
      <c r="D37" t="s">
        <v>0</v>
      </c>
      <c r="E37" t="s">
        <v>1</v>
      </c>
      <c r="F37" t="s">
        <v>2</v>
      </c>
      <c r="G37" t="s">
        <v>3</v>
      </c>
    </row>
    <row r="38" spans="3:16" x14ac:dyDescent="0.25">
      <c r="D38" t="s">
        <v>4</v>
      </c>
      <c r="E38" t="s">
        <v>5</v>
      </c>
      <c r="F38" t="s">
        <v>6</v>
      </c>
      <c r="G38" t="s">
        <v>7</v>
      </c>
    </row>
    <row r="39" spans="3:16" x14ac:dyDescent="0.25">
      <c r="D39" t="s">
        <v>7</v>
      </c>
      <c r="E39" t="s">
        <v>4</v>
      </c>
      <c r="F39" t="s">
        <v>5</v>
      </c>
      <c r="G39" t="s">
        <v>6</v>
      </c>
    </row>
    <row r="40" spans="3:16" x14ac:dyDescent="0.25">
      <c r="D40" t="s">
        <v>8</v>
      </c>
      <c r="E40" t="s">
        <v>9</v>
      </c>
      <c r="F40" t="s">
        <v>10</v>
      </c>
      <c r="G40" t="s">
        <v>10</v>
      </c>
    </row>
    <row r="42" spans="3:16" x14ac:dyDescent="0.25">
      <c r="C42" t="s">
        <v>11</v>
      </c>
      <c r="D42" t="s">
        <v>12</v>
      </c>
      <c r="E42" t="s">
        <v>12</v>
      </c>
      <c r="F42" t="s">
        <v>12</v>
      </c>
      <c r="G42" t="s">
        <v>12</v>
      </c>
    </row>
    <row r="43" spans="3:16" x14ac:dyDescent="0.25">
      <c r="C43" t="s">
        <v>13</v>
      </c>
      <c r="D43" t="s">
        <v>12</v>
      </c>
      <c r="E43" t="s">
        <v>12</v>
      </c>
      <c r="F43" t="s">
        <v>12</v>
      </c>
      <c r="G43" t="s">
        <v>12</v>
      </c>
    </row>
    <row r="44" spans="3:16" x14ac:dyDescent="0.25">
      <c r="C44" t="s">
        <v>14</v>
      </c>
      <c r="D44" s="1">
        <v>9.8008999999999995E-3</v>
      </c>
      <c r="E44" s="1">
        <v>9.8008999999999995E-3</v>
      </c>
      <c r="F44" s="1">
        <v>9.8008999999999995E-3</v>
      </c>
      <c r="G44" s="1">
        <v>9.8008999999999995E-3</v>
      </c>
      <c r="M44" s="1">
        <f>(F54-E54)</f>
        <v>36.942000000000007</v>
      </c>
      <c r="N44" t="s">
        <v>32</v>
      </c>
      <c r="O44" s="1">
        <f>M44*4.184</f>
        <v>154.56532800000005</v>
      </c>
      <c r="P44" t="s">
        <v>33</v>
      </c>
    </row>
    <row r="45" spans="3:16" x14ac:dyDescent="0.25">
      <c r="C45" t="s">
        <v>15</v>
      </c>
      <c r="D45" s="1">
        <v>9.8008999999999995E-3</v>
      </c>
      <c r="E45" s="1">
        <v>9.8008999999999995E-3</v>
      </c>
      <c r="F45" s="1">
        <v>9.8008999999999995E-3</v>
      </c>
      <c r="G45" s="1">
        <v>9.8008999999999995E-3</v>
      </c>
    </row>
    <row r="46" spans="3:16" x14ac:dyDescent="0.25">
      <c r="C46" t="s">
        <v>16</v>
      </c>
      <c r="D46">
        <v>1</v>
      </c>
      <c r="E46">
        <v>1</v>
      </c>
      <c r="F46">
        <v>1</v>
      </c>
      <c r="G46">
        <v>1</v>
      </c>
    </row>
    <row r="47" spans="3:16" x14ac:dyDescent="0.25">
      <c r="C47" t="s">
        <v>17</v>
      </c>
      <c r="D47">
        <v>1.43064E-2</v>
      </c>
      <c r="E47">
        <v>0.22550519999999999</v>
      </c>
      <c r="F47">
        <v>0.98786980000000002</v>
      </c>
      <c r="G47">
        <v>0.39564880000000002</v>
      </c>
    </row>
    <row r="48" spans="3:16" x14ac:dyDescent="0.25">
      <c r="C48" t="s">
        <v>18</v>
      </c>
      <c r="D48">
        <v>308.14999999999998</v>
      </c>
      <c r="E48">
        <v>278.2559</v>
      </c>
      <c r="F48">
        <v>278.14999999999998</v>
      </c>
      <c r="G48">
        <v>310.267</v>
      </c>
      <c r="M48" s="1">
        <f>(G54-F54)</f>
        <v>4.6420000000002801</v>
      </c>
      <c r="N48" t="s">
        <v>34</v>
      </c>
      <c r="O48" s="1">
        <f>M48*4.184</f>
        <v>19.422128000001173</v>
      </c>
    </row>
    <row r="49" spans="3:13" x14ac:dyDescent="0.25">
      <c r="C49" t="s">
        <v>19</v>
      </c>
      <c r="D49">
        <v>8.7502589999999998</v>
      </c>
      <c r="E49">
        <v>3.4512710000000002</v>
      </c>
      <c r="F49">
        <v>3.4512710000000002</v>
      </c>
      <c r="G49">
        <v>8.7502589999999998</v>
      </c>
    </row>
    <row r="50" spans="3:13" x14ac:dyDescent="0.25">
      <c r="C50" t="s">
        <v>20</v>
      </c>
      <c r="D50">
        <v>0</v>
      </c>
      <c r="E50">
        <v>0.2178407</v>
      </c>
      <c r="F50">
        <v>1</v>
      </c>
      <c r="G50">
        <v>1</v>
      </c>
    </row>
    <row r="51" spans="3:13" x14ac:dyDescent="0.25">
      <c r="C51" t="s">
        <v>21</v>
      </c>
      <c r="D51">
        <v>1</v>
      </c>
      <c r="E51">
        <v>0.7821593</v>
      </c>
      <c r="F51">
        <v>0</v>
      </c>
      <c r="G51">
        <v>0</v>
      </c>
      <c r="M51" s="1">
        <f>O44/O48</f>
        <v>7.9582076691076651</v>
      </c>
    </row>
    <row r="52" spans="3:13" x14ac:dyDescent="0.25">
      <c r="C52" t="s">
        <v>22</v>
      </c>
      <c r="D52">
        <v>0</v>
      </c>
      <c r="E52">
        <v>0</v>
      </c>
      <c r="F52">
        <v>0</v>
      </c>
      <c r="G52">
        <v>0</v>
      </c>
    </row>
    <row r="53" spans="3:13" x14ac:dyDescent="0.25">
      <c r="C53" t="s">
        <v>23</v>
      </c>
      <c r="D53" s="1">
        <v>-218260</v>
      </c>
      <c r="E53" s="1">
        <v>-218260</v>
      </c>
      <c r="F53" s="1">
        <v>-214490</v>
      </c>
      <c r="G53" s="1">
        <v>-214020</v>
      </c>
      <c r="I53" t="s">
        <v>36</v>
      </c>
    </row>
    <row r="54" spans="3:13" x14ac:dyDescent="0.25">
      <c r="C54" t="s">
        <v>24</v>
      </c>
      <c r="D54">
        <v>-2139.15</v>
      </c>
      <c r="E54">
        <v>-2139.15</v>
      </c>
      <c r="F54">
        <v>-2102.2080000000001</v>
      </c>
      <c r="G54">
        <v>-2097.5659999999998</v>
      </c>
    </row>
    <row r="55" spans="3:13" x14ac:dyDescent="0.25">
      <c r="C55" t="s">
        <v>25</v>
      </c>
      <c r="D55">
        <v>-594.20830000000001</v>
      </c>
      <c r="E55">
        <v>-594.20830000000001</v>
      </c>
      <c r="F55">
        <v>-583.94659999999999</v>
      </c>
      <c r="G55">
        <v>-582.65729999999996</v>
      </c>
    </row>
    <row r="56" spans="3:13" x14ac:dyDescent="0.25">
      <c r="C56" t="s">
        <v>26</v>
      </c>
      <c r="D56">
        <v>-73.135409999999993</v>
      </c>
      <c r="E56">
        <v>-72.905119999999997</v>
      </c>
      <c r="F56">
        <v>-59.359059999999999</v>
      </c>
      <c r="G56">
        <v>-59.367539999999998</v>
      </c>
    </row>
    <row r="57" spans="3:13" x14ac:dyDescent="0.25">
      <c r="C57" t="s">
        <v>27</v>
      </c>
      <c r="D57">
        <v>-0.7167926</v>
      </c>
      <c r="E57">
        <v>-0.71453560000000005</v>
      </c>
      <c r="F57">
        <v>-0.58177210000000001</v>
      </c>
      <c r="G57">
        <v>-0.58185509999999996</v>
      </c>
    </row>
    <row r="58" spans="3:13" x14ac:dyDescent="0.25">
      <c r="C58" t="s">
        <v>28</v>
      </c>
      <c r="D58">
        <v>1.1417800000000001E-2</v>
      </c>
      <c r="E58" s="1">
        <v>7.2436600000000005E-4</v>
      </c>
      <c r="F58" s="1">
        <v>1.6535399999999999E-4</v>
      </c>
      <c r="G58" s="1">
        <v>4.1286200000000001E-4</v>
      </c>
    </row>
    <row r="59" spans="3:13" x14ac:dyDescent="0.25">
      <c r="C59" t="s">
        <v>29</v>
      </c>
      <c r="D59">
        <v>1.1649780000000001</v>
      </c>
      <c r="E59">
        <v>7.3908100000000004E-2</v>
      </c>
      <c r="F59">
        <v>1.6871299999999999E-2</v>
      </c>
      <c r="G59">
        <v>4.21249E-2</v>
      </c>
    </row>
    <row r="60" spans="3:13" x14ac:dyDescent="0.25">
      <c r="C60" t="s">
        <v>30</v>
      </c>
      <c r="D60">
        <v>102.03149999999999</v>
      </c>
      <c r="E60">
        <v>102.03149999999999</v>
      </c>
      <c r="F60">
        <v>102.03149999999999</v>
      </c>
      <c r="G60">
        <v>102.03149999999999</v>
      </c>
    </row>
    <row r="61" spans="3:13" x14ac:dyDescent="0.25">
      <c r="C61" t="s">
        <v>31</v>
      </c>
      <c r="D61">
        <v>1.38254E-2</v>
      </c>
      <c r="E61">
        <v>1.38254E-2</v>
      </c>
      <c r="F61">
        <v>1.38254E-2</v>
      </c>
      <c r="G61">
        <v>1.38254E-2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2012-05-14T21:14:54Z</dcterms:created>
  <dcterms:modified xsi:type="dcterms:W3CDTF">2012-05-14T22:09:09Z</dcterms:modified>
</cp:coreProperties>
</file>