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45" windowWidth="22995" windowHeight="10035"/>
  </bookViews>
  <sheets>
    <sheet name="Sheet1" sheetId="1" r:id="rId1"/>
    <sheet name="Sheet2" sheetId="2" r:id="rId2"/>
    <sheet name="Sheet3" sheetId="3" r:id="rId3"/>
  </sheets>
  <calcPr calcId="145621"/>
</workbook>
</file>

<file path=xl/calcChain.xml><?xml version="1.0" encoding="utf-8"?>
<calcChain xmlns="http://schemas.openxmlformats.org/spreadsheetml/2006/main">
  <c r="N35" i="1" l="1"/>
  <c r="N30" i="1"/>
  <c r="N28" i="1"/>
  <c r="N32" i="1" l="1"/>
  <c r="G38" i="1"/>
</calcChain>
</file>

<file path=xl/sharedStrings.xml><?xml version="1.0" encoding="utf-8"?>
<sst xmlns="http://schemas.openxmlformats.org/spreadsheetml/2006/main" count="58" uniqueCount="40">
  <si>
    <t>1COND</t>
  </si>
  <si>
    <t>2EXP</t>
  </si>
  <si>
    <t>3EVAP</t>
  </si>
  <si>
    <t>4COMP</t>
  </si>
  <si>
    <t>B2VALV</t>
  </si>
  <si>
    <t>B3EVAP</t>
  </si>
  <si>
    <t>B1COND</t>
  </si>
  <si>
    <t>LIQUID</t>
  </si>
  <si>
    <t>VAPOR</t>
  </si>
  <si>
    <t xml:space="preserve">Substream: MIXED          </t>
  </si>
  <si>
    <t xml:space="preserve"> </t>
  </si>
  <si>
    <t xml:space="preserve">Mole Flow   kmol/hr       </t>
  </si>
  <si>
    <t xml:space="preserve">  C2H2F-01                </t>
  </si>
  <si>
    <t xml:space="preserve">Total Flow  kmol/hr       </t>
  </si>
  <si>
    <t xml:space="preserve">Total Flow  kg/hr         </t>
  </si>
  <si>
    <t xml:space="preserve">Total Flow  l/min         </t>
  </si>
  <si>
    <t xml:space="preserve">Temperature K             </t>
  </si>
  <si>
    <t xml:space="preserve">Pressure    atm           </t>
  </si>
  <si>
    <t xml:space="preserve">Vapor Frac                </t>
  </si>
  <si>
    <t xml:space="preserve">Liquid Frac               </t>
  </si>
  <si>
    <t xml:space="preserve">Solid Frac                </t>
  </si>
  <si>
    <t xml:space="preserve">Enthalpy    cal/mol       </t>
  </si>
  <si>
    <t xml:space="preserve">Enthalpy    cal/gm        </t>
  </si>
  <si>
    <t xml:space="preserve">Enthalpy    cal/sec       </t>
  </si>
  <si>
    <t xml:space="preserve">Entropy     cal/mol-K     </t>
  </si>
  <si>
    <t xml:space="preserve">Entropy     cal/gm-K      </t>
  </si>
  <si>
    <t xml:space="preserve">Density     mol/cc        </t>
  </si>
  <si>
    <t xml:space="preserve">Density     gm/cc         </t>
  </si>
  <si>
    <t xml:space="preserve">Average MW                </t>
  </si>
  <si>
    <t>cal/sec</t>
  </si>
  <si>
    <t>J/sec</t>
  </si>
  <si>
    <t>kW</t>
  </si>
  <si>
    <t>B4</t>
  </si>
  <si>
    <t>MIXED</t>
  </si>
  <si>
    <t>Which is very close the value of 4.07 reported in Illustration 5.2-2, especially since the P-R EOS was used instead of the thermodynamic chart.</t>
  </si>
  <si>
    <t>TEMP</t>
  </si>
  <si>
    <t>PL</t>
  </si>
  <si>
    <t>C2H2F-01</t>
  </si>
  <si>
    <t>C</t>
  </si>
  <si>
    <t>bar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</si>
</sst>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8</xdr:row>
      <xdr:rowOff>0</xdr:rowOff>
    </xdr:from>
    <xdr:to>
      <xdr:col>14</xdr:col>
      <xdr:colOff>550026</xdr:colOff>
      <xdr:row>22</xdr:row>
      <xdr:rowOff>133350</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81750" y="762000"/>
          <a:ext cx="3598026" cy="280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8</xdr:col>
      <xdr:colOff>38100</xdr:colOff>
      <xdr:row>26</xdr:row>
      <xdr:rowOff>142875</xdr:rowOff>
    </xdr:from>
    <xdr:ext cx="1385764" cy="264560"/>
    <xdr:sp macro="" textlink="">
      <xdr:nvSpPr>
        <xdr:cNvPr id="3" name="TextBox 2"/>
        <xdr:cNvSpPr txBox="1"/>
      </xdr:nvSpPr>
      <xdr:spPr>
        <a:xfrm>
          <a:off x="5810250" y="4333875"/>
          <a:ext cx="138576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Heat duty in boiler</a:t>
          </a:r>
          <a:r>
            <a:rPr lang="en-US" sz="1100" baseline="0"/>
            <a:t> = </a:t>
          </a:r>
          <a:endParaRPr lang="en-US" sz="1100"/>
        </a:p>
      </xdr:txBody>
    </xdr:sp>
    <xdr:clientData/>
  </xdr:oneCellAnchor>
  <xdr:oneCellAnchor>
    <xdr:from>
      <xdr:col>8</xdr:col>
      <xdr:colOff>38100</xdr:colOff>
      <xdr:row>28</xdr:row>
      <xdr:rowOff>133350</xdr:rowOff>
    </xdr:from>
    <xdr:ext cx="1444242" cy="264560"/>
    <xdr:sp macro="" textlink="">
      <xdr:nvSpPr>
        <xdr:cNvPr id="4" name="TextBox 3"/>
        <xdr:cNvSpPr txBox="1"/>
      </xdr:nvSpPr>
      <xdr:spPr>
        <a:xfrm>
          <a:off x="5810250" y="4705350"/>
          <a:ext cx="144424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Work in compressor =</a:t>
          </a:r>
        </a:p>
      </xdr:txBody>
    </xdr:sp>
    <xdr:clientData/>
  </xdr:oneCellAnchor>
  <xdr:oneCellAnchor>
    <xdr:from>
      <xdr:col>8</xdr:col>
      <xdr:colOff>57150</xdr:colOff>
      <xdr:row>30</xdr:row>
      <xdr:rowOff>123825</xdr:rowOff>
    </xdr:from>
    <xdr:ext cx="599523" cy="264560"/>
    <xdr:sp macro="" textlink="">
      <xdr:nvSpPr>
        <xdr:cNvPr id="5" name="TextBox 4"/>
        <xdr:cNvSpPr txBox="1"/>
      </xdr:nvSpPr>
      <xdr:spPr>
        <a:xfrm>
          <a:off x="5829300" y="5076825"/>
          <a:ext cx="599523"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C.O.P =</a:t>
          </a:r>
        </a:p>
      </xdr:txBody>
    </xdr:sp>
    <xdr:clientData/>
  </xdr:oneCellAnchor>
  <xdr:oneCellAnchor>
    <xdr:from>
      <xdr:col>8</xdr:col>
      <xdr:colOff>19050</xdr:colOff>
      <xdr:row>33</xdr:row>
      <xdr:rowOff>161925</xdr:rowOff>
    </xdr:from>
    <xdr:ext cx="1654235" cy="264560"/>
    <xdr:sp macro="" textlink="">
      <xdr:nvSpPr>
        <xdr:cNvPr id="6" name="TextBox 5"/>
        <xdr:cNvSpPr txBox="1"/>
      </xdr:nvSpPr>
      <xdr:spPr>
        <a:xfrm>
          <a:off x="5791200" y="5495925"/>
          <a:ext cx="16542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Heat duty in condenser = </a:t>
          </a:r>
        </a:p>
      </xdr:txBody>
    </xdr:sp>
    <xdr:clientData/>
  </xdr:oneCellAnchor>
  <xdr:oneCellAnchor>
    <xdr:from>
      <xdr:col>0</xdr:col>
      <xdr:colOff>133350</xdr:colOff>
      <xdr:row>0</xdr:row>
      <xdr:rowOff>152400</xdr:rowOff>
    </xdr:from>
    <xdr:ext cx="1131528" cy="264560"/>
    <xdr:sp macro="" textlink="">
      <xdr:nvSpPr>
        <xdr:cNvPr id="7" name="TextBox 6"/>
        <xdr:cNvSpPr txBox="1"/>
      </xdr:nvSpPr>
      <xdr:spPr>
        <a:xfrm>
          <a:off x="133350" y="152400"/>
          <a:ext cx="113152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Illustration 5.2-2</a:t>
          </a:r>
        </a:p>
      </xdr:txBody>
    </xdr:sp>
    <xdr:clientData/>
  </xdr:oneCellAnchor>
  <xdr:oneCellAnchor>
    <xdr:from>
      <xdr:col>2</xdr:col>
      <xdr:colOff>476250</xdr:colOff>
      <xdr:row>36</xdr:row>
      <xdr:rowOff>114300</xdr:rowOff>
    </xdr:from>
    <xdr:ext cx="2598917" cy="264560"/>
    <xdr:sp macro="" textlink="">
      <xdr:nvSpPr>
        <xdr:cNvPr id="8" name="TextBox 7"/>
        <xdr:cNvSpPr txBox="1"/>
      </xdr:nvSpPr>
      <xdr:spPr>
        <a:xfrm>
          <a:off x="1695450" y="6210300"/>
          <a:ext cx="259891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Is the energy balance satisfied?    Energy =</a:t>
          </a:r>
        </a:p>
      </xdr:txBody>
    </xdr:sp>
    <xdr:clientData/>
  </xdr:oneCellAnchor>
  <xdr:oneCellAnchor>
    <xdr:from>
      <xdr:col>8</xdr:col>
      <xdr:colOff>28575</xdr:colOff>
      <xdr:row>36</xdr:row>
      <xdr:rowOff>180975</xdr:rowOff>
    </xdr:from>
    <xdr:ext cx="4099648" cy="264560"/>
    <xdr:sp macro="" textlink="">
      <xdr:nvSpPr>
        <xdr:cNvPr id="9" name="TextBox 8"/>
        <xdr:cNvSpPr txBox="1"/>
      </xdr:nvSpPr>
      <xdr:spPr>
        <a:xfrm>
          <a:off x="5800725" y="6276975"/>
          <a:ext cx="409964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which is close enough to zero within the accuracy of the calculations</a:t>
          </a:r>
        </a:p>
      </xdr:txBody>
    </xdr:sp>
    <xdr:clientData/>
  </xdr:oneCellAnchor>
  <xdr:oneCellAnchor>
    <xdr:from>
      <xdr:col>0</xdr:col>
      <xdr:colOff>152400</xdr:colOff>
      <xdr:row>2</xdr:row>
      <xdr:rowOff>123825</xdr:rowOff>
    </xdr:from>
    <xdr:ext cx="11001375" cy="609013"/>
    <xdr:sp macro="" textlink="">
      <xdr:nvSpPr>
        <xdr:cNvPr id="10" name="TextBox 9"/>
        <xdr:cNvSpPr txBox="1"/>
      </xdr:nvSpPr>
      <xdr:spPr>
        <a:xfrm>
          <a:off x="152400" y="504825"/>
          <a:ext cx="110013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The solution to this problem required the use of ASPEN in two quite different ways. The first was to</a:t>
          </a:r>
          <a:r>
            <a:rPr lang="en-US" sz="1100" baseline="0"/>
            <a:t> use Property Analysis to determine the pressure for HFC-134a at 5 C and at 55 C. Using the  Peng-Robonson equation of state, these were found to 3.497 bar and 14.925 bar, respectively. This information was used to fix the pressure of the stream leaving the compressor and in the condenser (14.925 bar) and the pressure leaving the evaporator and also the expansion valve (3.497 bar). With these pressures fixed, the thermodynamic cycle could be calculated.</a:t>
          </a:r>
        </a:p>
      </xdr:txBody>
    </xdr:sp>
    <xdr:clientData/>
  </xdr:oneCellAnchor>
  <xdr:twoCellAnchor editAs="oneCell">
    <xdr:from>
      <xdr:col>2</xdr:col>
      <xdr:colOff>0</xdr:colOff>
      <xdr:row>39</xdr:row>
      <xdr:rowOff>0</xdr:rowOff>
    </xdr:from>
    <xdr:to>
      <xdr:col>7</xdr:col>
      <xdr:colOff>219075</xdr:colOff>
      <xdr:row>55</xdr:row>
      <xdr:rowOff>152400</xdr:rowOff>
    </xdr:to>
    <xdr:pic>
      <xdr:nvPicPr>
        <xdr:cNvPr id="11" name="Picture 1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19200" y="7429500"/>
          <a:ext cx="4162425" cy="320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xdr:col>
      <xdr:colOff>76200</xdr:colOff>
      <xdr:row>57</xdr:row>
      <xdr:rowOff>171450</xdr:rowOff>
    </xdr:from>
    <xdr:ext cx="1793504" cy="264560"/>
    <xdr:sp macro="" textlink="">
      <xdr:nvSpPr>
        <xdr:cNvPr id="12" name="TextBox 11"/>
        <xdr:cNvSpPr txBox="1"/>
      </xdr:nvSpPr>
      <xdr:spPr>
        <a:xfrm>
          <a:off x="1295400" y="11029950"/>
          <a:ext cx="179350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t>Vapor pressure of HFC-134a</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C8:O65"/>
  <sheetViews>
    <sheetView tabSelected="1" topLeftCell="A33" workbookViewId="0">
      <selection activeCell="C57" sqref="C57"/>
    </sheetView>
  </sheetViews>
  <sheetFormatPr defaultRowHeight="15" x14ac:dyDescent="0.25"/>
  <cols>
    <col min="3" max="3" width="18.85546875" customWidth="1"/>
    <col min="4" max="4" width="12.85546875" customWidth="1"/>
  </cols>
  <sheetData>
    <row r="8" spans="3:7" x14ac:dyDescent="0.25">
      <c r="D8" t="s">
        <v>0</v>
      </c>
      <c r="E8" t="s">
        <v>1</v>
      </c>
      <c r="F8" t="s">
        <v>2</v>
      </c>
      <c r="G8" t="s">
        <v>3</v>
      </c>
    </row>
    <row r="9" spans="3:7" x14ac:dyDescent="0.25">
      <c r="D9" t="s">
        <v>4</v>
      </c>
      <c r="E9" t="s">
        <v>5</v>
      </c>
      <c r="F9" t="s">
        <v>32</v>
      </c>
      <c r="G9" t="s">
        <v>6</v>
      </c>
    </row>
    <row r="10" spans="3:7" x14ac:dyDescent="0.25">
      <c r="D10" t="s">
        <v>6</v>
      </c>
      <c r="E10" t="s">
        <v>4</v>
      </c>
      <c r="F10" t="s">
        <v>5</v>
      </c>
      <c r="G10" t="s">
        <v>32</v>
      </c>
    </row>
    <row r="11" spans="3:7" x14ac:dyDescent="0.25">
      <c r="D11" t="s">
        <v>7</v>
      </c>
      <c r="E11" t="s">
        <v>33</v>
      </c>
      <c r="F11" t="s">
        <v>8</v>
      </c>
      <c r="G11" t="s">
        <v>8</v>
      </c>
    </row>
    <row r="13" spans="3:7" x14ac:dyDescent="0.25">
      <c r="C13" t="s">
        <v>9</v>
      </c>
      <c r="D13" t="s">
        <v>10</v>
      </c>
      <c r="E13" t="s">
        <v>10</v>
      </c>
      <c r="F13" t="s">
        <v>10</v>
      </c>
      <c r="G13" t="s">
        <v>10</v>
      </c>
    </row>
    <row r="14" spans="3:7" x14ac:dyDescent="0.25">
      <c r="C14" t="s">
        <v>11</v>
      </c>
      <c r="D14" t="s">
        <v>10</v>
      </c>
      <c r="E14" t="s">
        <v>10</v>
      </c>
      <c r="F14" t="s">
        <v>10</v>
      </c>
      <c r="G14" t="s">
        <v>10</v>
      </c>
    </row>
    <row r="15" spans="3:7" x14ac:dyDescent="0.25">
      <c r="C15" t="s">
        <v>12</v>
      </c>
      <c r="D15" s="1">
        <v>9.8008999999999995E-3</v>
      </c>
      <c r="E15" s="1">
        <v>9.8008999999999995E-3</v>
      </c>
      <c r="F15" s="1">
        <v>9.8008999999999995E-3</v>
      </c>
      <c r="G15" s="1">
        <v>9.8008999999999995E-3</v>
      </c>
    </row>
    <row r="16" spans="3:7" x14ac:dyDescent="0.25">
      <c r="C16" t="s">
        <v>13</v>
      </c>
      <c r="D16" s="1">
        <v>9.8008999999999995E-3</v>
      </c>
      <c r="E16" s="1">
        <v>9.8008999999999995E-3</v>
      </c>
      <c r="F16" s="1">
        <v>9.8008999999999995E-3</v>
      </c>
      <c r="G16" s="1">
        <v>9.8008999999999995E-3</v>
      </c>
    </row>
    <row r="17" spans="3:15" x14ac:dyDescent="0.25">
      <c r="C17" t="s">
        <v>14</v>
      </c>
      <c r="D17" s="1">
        <v>1</v>
      </c>
      <c r="E17" s="1">
        <v>1</v>
      </c>
      <c r="F17" s="1">
        <v>1</v>
      </c>
      <c r="G17" s="1">
        <v>1</v>
      </c>
    </row>
    <row r="18" spans="3:15" x14ac:dyDescent="0.25">
      <c r="C18" t="s">
        <v>15</v>
      </c>
      <c r="D18" s="1">
        <v>1.55052E-2</v>
      </c>
      <c r="E18" s="1">
        <v>0.38515199999999999</v>
      </c>
      <c r="F18" s="1">
        <v>0.98786980000000002</v>
      </c>
      <c r="G18" s="1">
        <v>0.22874849999999999</v>
      </c>
    </row>
    <row r="19" spans="3:15" x14ac:dyDescent="0.25">
      <c r="C19" t="s">
        <v>16</v>
      </c>
      <c r="D19">
        <v>328.15</v>
      </c>
      <c r="E19">
        <v>278.2559</v>
      </c>
      <c r="F19">
        <v>278.14999999999998</v>
      </c>
      <c r="G19">
        <v>331.87689999999998</v>
      </c>
    </row>
    <row r="20" spans="3:15" x14ac:dyDescent="0.25">
      <c r="C20" t="s">
        <v>17</v>
      </c>
      <c r="D20">
        <v>14.72983</v>
      </c>
      <c r="E20">
        <v>3.4512710000000002</v>
      </c>
      <c r="F20">
        <v>3.4512710000000002</v>
      </c>
      <c r="G20">
        <v>14.72983</v>
      </c>
    </row>
    <row r="21" spans="3:15" x14ac:dyDescent="0.25">
      <c r="C21" t="s">
        <v>18</v>
      </c>
      <c r="D21">
        <v>0</v>
      </c>
      <c r="E21">
        <v>0.38152849999999999</v>
      </c>
      <c r="F21">
        <v>1</v>
      </c>
      <c r="G21">
        <v>1</v>
      </c>
    </row>
    <row r="22" spans="3:15" x14ac:dyDescent="0.25">
      <c r="C22" t="s">
        <v>19</v>
      </c>
      <c r="D22">
        <v>1</v>
      </c>
      <c r="E22">
        <v>0.61847149999999995</v>
      </c>
      <c r="F22">
        <v>0</v>
      </c>
      <c r="G22">
        <v>0</v>
      </c>
    </row>
    <row r="23" spans="3:15" x14ac:dyDescent="0.25">
      <c r="C23" t="s">
        <v>20</v>
      </c>
      <c r="D23">
        <v>0</v>
      </c>
      <c r="E23">
        <v>0</v>
      </c>
      <c r="F23">
        <v>0</v>
      </c>
      <c r="G23">
        <v>0</v>
      </c>
    </row>
    <row r="24" spans="3:15" x14ac:dyDescent="0.25">
      <c r="C24" t="s">
        <v>21</v>
      </c>
      <c r="D24" s="1">
        <v>-217470</v>
      </c>
      <c r="E24" s="1">
        <v>-217470</v>
      </c>
      <c r="F24" s="1">
        <v>-214490</v>
      </c>
      <c r="G24" s="1">
        <v>-213750</v>
      </c>
    </row>
    <row r="25" spans="3:15" x14ac:dyDescent="0.25">
      <c r="C25" t="s">
        <v>22</v>
      </c>
      <c r="D25">
        <v>-2131.4140000000002</v>
      </c>
      <c r="E25">
        <v>-2131.4140000000002</v>
      </c>
      <c r="F25">
        <v>-2102.2080000000001</v>
      </c>
      <c r="G25">
        <v>-2094.9490000000001</v>
      </c>
    </row>
    <row r="26" spans="3:15" x14ac:dyDescent="0.25">
      <c r="C26" t="s">
        <v>23</v>
      </c>
      <c r="D26" s="1">
        <v>-592.05949999999996</v>
      </c>
      <c r="E26" s="1">
        <v>-592.05949999999996</v>
      </c>
      <c r="F26" s="1">
        <v>-583.94659999999999</v>
      </c>
      <c r="G26" s="1">
        <v>-581.93029999999999</v>
      </c>
    </row>
    <row r="27" spans="3:15" x14ac:dyDescent="0.25">
      <c r="C27" t="s">
        <v>24</v>
      </c>
      <c r="D27">
        <v>-70.698530000000005</v>
      </c>
      <c r="E27">
        <v>-70.068610000000007</v>
      </c>
      <c r="F27">
        <v>-59.359059999999999</v>
      </c>
      <c r="G27">
        <v>-59.359020000000001</v>
      </c>
    </row>
    <row r="28" spans="3:15" x14ac:dyDescent="0.25">
      <c r="C28" t="s">
        <v>25</v>
      </c>
      <c r="D28">
        <v>-0.692909</v>
      </c>
      <c r="E28">
        <v>-0.68673530000000005</v>
      </c>
      <c r="F28">
        <v>-0.58177210000000001</v>
      </c>
      <c r="G28">
        <v>-0.58177160000000006</v>
      </c>
      <c r="L28">
        <v>8.1129499999999997</v>
      </c>
      <c r="M28" t="s">
        <v>29</v>
      </c>
      <c r="N28">
        <f>L28*4.184</f>
        <v>33.944582799999999</v>
      </c>
      <c r="O28" t="s">
        <v>30</v>
      </c>
    </row>
    <row r="29" spans="3:15" x14ac:dyDescent="0.25">
      <c r="C29" t="s">
        <v>26</v>
      </c>
      <c r="D29">
        <v>1.0534999999999999E-2</v>
      </c>
      <c r="E29" s="1">
        <v>4.2411400000000001E-4</v>
      </c>
      <c r="F29" s="1">
        <v>1.6535399999999999E-4</v>
      </c>
      <c r="G29" s="1">
        <v>7.14096E-4</v>
      </c>
    </row>
    <row r="30" spans="3:15" x14ac:dyDescent="0.25">
      <c r="C30" t="s">
        <v>27</v>
      </c>
      <c r="D30">
        <v>1.0749070000000001</v>
      </c>
      <c r="E30">
        <v>4.3272900000000003E-2</v>
      </c>
      <c r="F30">
        <v>1.6871299999999999E-2</v>
      </c>
      <c r="G30">
        <v>7.28602E-2</v>
      </c>
      <c r="L30">
        <v>8.4419300000000003E-3</v>
      </c>
      <c r="M30" t="s">
        <v>31</v>
      </c>
      <c r="N30">
        <f>L30*1000</f>
        <v>8.441930000000001</v>
      </c>
      <c r="O30" t="s">
        <v>30</v>
      </c>
    </row>
    <row r="31" spans="3:15" x14ac:dyDescent="0.25">
      <c r="C31" t="s">
        <v>28</v>
      </c>
      <c r="D31">
        <v>102.03149999999999</v>
      </c>
      <c r="E31" s="1">
        <v>102.03149999999999</v>
      </c>
      <c r="F31" s="1">
        <v>102.03149999999999</v>
      </c>
      <c r="G31" s="1">
        <v>102.03149999999999</v>
      </c>
    </row>
    <row r="32" spans="3:15" x14ac:dyDescent="0.25">
      <c r="E32" s="1"/>
      <c r="F32" s="1"/>
      <c r="G32" s="1"/>
      <c r="N32">
        <f>N28/N30</f>
        <v>4.020950517239541</v>
      </c>
    </row>
    <row r="33" spans="3:15" x14ac:dyDescent="0.25">
      <c r="E33" s="1"/>
      <c r="F33" s="1"/>
      <c r="G33" s="1"/>
    </row>
    <row r="34" spans="3:15" x14ac:dyDescent="0.25">
      <c r="C34" t="s">
        <v>34</v>
      </c>
    </row>
    <row r="35" spans="3:15" x14ac:dyDescent="0.25">
      <c r="L35">
        <v>10.129300000000001</v>
      </c>
      <c r="M35" t="s">
        <v>29</v>
      </c>
      <c r="N35">
        <f>L35*4.184</f>
        <v>42.380991200000004</v>
      </c>
      <c r="O35" t="s">
        <v>30</v>
      </c>
    </row>
    <row r="38" spans="3:15" x14ac:dyDescent="0.25">
      <c r="G38">
        <f>N28+N30-N35</f>
        <v>5.5215999999944643E-3</v>
      </c>
    </row>
    <row r="41" spans="3:15" x14ac:dyDescent="0.25">
      <c r="I41" t="s">
        <v>35</v>
      </c>
      <c r="J41" t="s">
        <v>7</v>
      </c>
    </row>
    <row r="42" spans="3:15" x14ac:dyDescent="0.25">
      <c r="I42" t="s">
        <v>10</v>
      </c>
      <c r="J42" t="s">
        <v>36</v>
      </c>
    </row>
    <row r="43" spans="3:15" x14ac:dyDescent="0.25">
      <c r="I43" t="s">
        <v>10</v>
      </c>
      <c r="J43" t="s">
        <v>37</v>
      </c>
    </row>
    <row r="44" spans="3:15" x14ac:dyDescent="0.25">
      <c r="I44" t="s">
        <v>38</v>
      </c>
      <c r="J44" t="s">
        <v>39</v>
      </c>
    </row>
    <row r="45" spans="3:15" x14ac:dyDescent="0.25">
      <c r="I45">
        <v>0</v>
      </c>
      <c r="J45">
        <v>2.9267829999999999</v>
      </c>
    </row>
    <row r="46" spans="3:15" x14ac:dyDescent="0.25">
      <c r="I46">
        <v>5</v>
      </c>
      <c r="J46">
        <v>3.4946890000000002</v>
      </c>
    </row>
    <row r="47" spans="3:15" x14ac:dyDescent="0.25">
      <c r="I47">
        <v>10</v>
      </c>
      <c r="J47">
        <v>4.1434889999999998</v>
      </c>
    </row>
    <row r="48" spans="3:15" x14ac:dyDescent="0.25">
      <c r="I48">
        <v>15</v>
      </c>
      <c r="J48">
        <v>4.8804790000000002</v>
      </c>
    </row>
    <row r="49" spans="9:10" x14ac:dyDescent="0.25">
      <c r="I49">
        <v>20</v>
      </c>
      <c r="J49">
        <v>5.7132360000000002</v>
      </c>
    </row>
    <row r="50" spans="9:10" x14ac:dyDescent="0.25">
      <c r="I50">
        <v>25</v>
      </c>
      <c r="J50">
        <v>6.6496230000000001</v>
      </c>
    </row>
    <row r="51" spans="9:10" x14ac:dyDescent="0.25">
      <c r="I51">
        <v>30</v>
      </c>
      <c r="J51">
        <v>7.6978</v>
      </c>
    </row>
    <row r="52" spans="9:10" x14ac:dyDescent="0.25">
      <c r="I52">
        <v>35</v>
      </c>
      <c r="J52">
        <v>8.8662410000000005</v>
      </c>
    </row>
    <row r="53" spans="9:10" x14ac:dyDescent="0.25">
      <c r="I53">
        <v>40</v>
      </c>
      <c r="J53">
        <v>10.16376</v>
      </c>
    </row>
    <row r="54" spans="9:10" x14ac:dyDescent="0.25">
      <c r="I54">
        <v>45</v>
      </c>
      <c r="J54">
        <v>11.59953</v>
      </c>
    </row>
    <row r="55" spans="9:10" x14ac:dyDescent="0.25">
      <c r="I55">
        <v>50</v>
      </c>
      <c r="J55">
        <v>13.18313</v>
      </c>
    </row>
    <row r="56" spans="9:10" x14ac:dyDescent="0.25">
      <c r="I56">
        <v>55</v>
      </c>
      <c r="J56">
        <v>14.92456</v>
      </c>
    </row>
    <row r="57" spans="9:10" x14ac:dyDescent="0.25">
      <c r="I57">
        <v>60</v>
      </c>
      <c r="J57">
        <v>16.834299999999999</v>
      </c>
    </row>
    <row r="58" spans="9:10" x14ac:dyDescent="0.25">
      <c r="I58">
        <v>65</v>
      </c>
      <c r="J58">
        <v>18.923359999999999</v>
      </c>
    </row>
    <row r="59" spans="9:10" x14ac:dyDescent="0.25">
      <c r="I59">
        <v>70</v>
      </c>
      <c r="J59">
        <v>21.203330000000001</v>
      </c>
    </row>
    <row r="60" spans="9:10" x14ac:dyDescent="0.25">
      <c r="I60">
        <v>75</v>
      </c>
      <c r="J60">
        <v>23.686409999999999</v>
      </c>
    </row>
    <row r="61" spans="9:10" x14ac:dyDescent="0.25">
      <c r="I61">
        <v>80</v>
      </c>
      <c r="J61">
        <v>26.385529999999999</v>
      </c>
    </row>
    <row r="62" spans="9:10" x14ac:dyDescent="0.25">
      <c r="I62">
        <v>85</v>
      </c>
      <c r="J62">
        <v>29.31437</v>
      </c>
    </row>
    <row r="63" spans="9:10" x14ac:dyDescent="0.25">
      <c r="I63">
        <v>90</v>
      </c>
      <c r="J63">
        <v>32.487479999999998</v>
      </c>
    </row>
    <row r="64" spans="9:10" x14ac:dyDescent="0.25">
      <c r="I64">
        <v>95</v>
      </c>
      <c r="J64">
        <v>35.92033</v>
      </c>
    </row>
    <row r="65" spans="9:10" x14ac:dyDescent="0.25">
      <c r="I65">
        <v>100</v>
      </c>
      <c r="J65">
        <v>39.629390000000001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Delaware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Stanley Sandler</dc:creator>
  <cp:lastModifiedBy>Stanley Sandler</cp:lastModifiedBy>
  <dcterms:created xsi:type="dcterms:W3CDTF">2012-05-13T20:49:20Z</dcterms:created>
  <dcterms:modified xsi:type="dcterms:W3CDTF">2012-05-14T21:05:03Z</dcterms:modified>
</cp:coreProperties>
</file>