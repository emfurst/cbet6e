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4355" windowHeight="774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J31" i="1" l="1"/>
  <c r="J30" i="1"/>
  <c r="F31" i="1"/>
  <c r="F30" i="1"/>
  <c r="F24" i="1"/>
  <c r="E24" i="1"/>
  <c r="D24" i="1"/>
  <c r="L17" i="1"/>
  <c r="K17" i="1"/>
  <c r="J17" i="1"/>
  <c r="I17" i="1"/>
  <c r="H17" i="1"/>
  <c r="G17" i="1"/>
  <c r="F17" i="1"/>
  <c r="E17" i="1"/>
  <c r="D17" i="1"/>
  <c r="C17" i="1"/>
  <c r="H21" i="1"/>
  <c r="F21" i="1"/>
  <c r="E21" i="1"/>
  <c r="D21" i="1"/>
</calcChain>
</file>

<file path=xl/sharedStrings.xml><?xml version="1.0" encoding="utf-8"?>
<sst xmlns="http://schemas.openxmlformats.org/spreadsheetml/2006/main" count="62" uniqueCount="35">
  <si>
    <t xml:space="preserve">Temperature C             </t>
  </si>
  <si>
    <t xml:space="preserve">Pressure    bar           </t>
  </si>
  <si>
    <t xml:space="preserve">Vapor Frac                </t>
  </si>
  <si>
    <t xml:space="preserve"> </t>
  </si>
  <si>
    <t>B1COMP1</t>
  </si>
  <si>
    <t>B2HEX1</t>
  </si>
  <si>
    <t>B3COMP2</t>
  </si>
  <si>
    <t>B4HEX2</t>
  </si>
  <si>
    <t>B5COMP3</t>
  </si>
  <si>
    <t>B6HEX3</t>
  </si>
  <si>
    <t>B7VALV</t>
  </si>
  <si>
    <t>B8FLSH</t>
  </si>
  <si>
    <t>VAPOR</t>
  </si>
  <si>
    <t>MIXED</t>
  </si>
  <si>
    <t>LIQUID</t>
  </si>
  <si>
    <t xml:space="preserve">Substream: MIXED          </t>
  </si>
  <si>
    <t xml:space="preserve">Total Flow  kg/hr         </t>
  </si>
  <si>
    <t xml:space="preserve">Liquid Frac               </t>
  </si>
  <si>
    <t xml:space="preserve">Enthalpy    kcal/kg       </t>
  </si>
  <si>
    <t xml:space="preserve">Entropy     cal/gm-K      </t>
  </si>
  <si>
    <t xml:space="preserve">Density     kg/cum        </t>
  </si>
  <si>
    <t>KW</t>
  </si>
  <si>
    <t>Compressor work</t>
  </si>
  <si>
    <t xml:space="preserve">Temperature K            </t>
  </si>
  <si>
    <t>kJ/kg</t>
  </si>
  <si>
    <t>Heat</t>
  </si>
  <si>
    <t>Gcal/hr</t>
  </si>
  <si>
    <t>W1</t>
  </si>
  <si>
    <t>W2</t>
  </si>
  <si>
    <t>Text</t>
  </si>
  <si>
    <t>Aspen</t>
  </si>
  <si>
    <t>W3</t>
  </si>
  <si>
    <t>Total</t>
  </si>
  <si>
    <t>LNG</t>
  </si>
  <si>
    <t>W/kg 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</si>
</sst>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26</xdr:row>
      <xdr:rowOff>133350</xdr:rowOff>
    </xdr:from>
    <xdr:ext cx="3033587" cy="264560"/>
    <xdr:sp macro="" textlink="">
      <xdr:nvSpPr>
        <xdr:cNvPr id="2" name="TextBox 1"/>
        <xdr:cNvSpPr txBox="1"/>
      </xdr:nvSpPr>
      <xdr:spPr>
        <a:xfrm>
          <a:off x="752475" y="5086350"/>
          <a:ext cx="303358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Comparison of text result</a:t>
          </a:r>
          <a:r>
            <a:rPr lang="en-US" sz="1100" baseline="0"/>
            <a:t> with ASPEN with PREOS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31"/>
  <sheetViews>
    <sheetView tabSelected="1" topLeftCell="A10" workbookViewId="0">
      <selection activeCell="B29" sqref="B29:J31"/>
    </sheetView>
  </sheetViews>
  <sheetFormatPr defaultRowHeight="15" x14ac:dyDescent="0.25"/>
  <cols>
    <col min="2" max="2" width="19.42578125" customWidth="1"/>
    <col min="4" max="4" width="10" customWidth="1"/>
  </cols>
  <sheetData>
    <row r="3" spans="2:12" x14ac:dyDescent="0.25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</row>
    <row r="4" spans="2:12" x14ac:dyDescent="0.25"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 spans="2:12" x14ac:dyDescent="0.25"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11</v>
      </c>
    </row>
    <row r="6" spans="2:12" x14ac:dyDescent="0.25">
      <c r="C6" t="s">
        <v>12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13</v>
      </c>
      <c r="K6" t="s">
        <v>12</v>
      </c>
      <c r="L6" t="s">
        <v>14</v>
      </c>
    </row>
    <row r="8" spans="2:12" x14ac:dyDescent="0.25">
      <c r="B8" t="s">
        <v>15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</row>
    <row r="9" spans="2:12" x14ac:dyDescent="0.25">
      <c r="B9" t="s">
        <v>16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0.83592690000000003</v>
      </c>
      <c r="L9">
        <v>0.1640731</v>
      </c>
    </row>
    <row r="10" spans="2:12" x14ac:dyDescent="0.25">
      <c r="B10" t="s">
        <v>0</v>
      </c>
      <c r="C10">
        <v>6.85</v>
      </c>
      <c r="D10">
        <v>127.73050000000001</v>
      </c>
      <c r="E10">
        <v>6.85</v>
      </c>
      <c r="F10">
        <v>129.85820000000001</v>
      </c>
      <c r="G10">
        <v>6.85</v>
      </c>
      <c r="H10">
        <v>117.2291</v>
      </c>
      <c r="I10">
        <v>-63.15</v>
      </c>
      <c r="J10">
        <v>-161.81180000000001</v>
      </c>
      <c r="K10">
        <v>-161.81360000000001</v>
      </c>
      <c r="L10">
        <v>-161.81360000000001</v>
      </c>
    </row>
    <row r="11" spans="2:12" x14ac:dyDescent="0.25">
      <c r="B11" t="s">
        <v>1</v>
      </c>
      <c r="C11">
        <v>1</v>
      </c>
      <c r="D11">
        <v>5</v>
      </c>
      <c r="E11">
        <v>5</v>
      </c>
      <c r="F11">
        <v>25</v>
      </c>
      <c r="G11">
        <v>25</v>
      </c>
      <c r="H11">
        <v>100</v>
      </c>
      <c r="I11">
        <v>100</v>
      </c>
      <c r="J11">
        <v>1</v>
      </c>
      <c r="K11">
        <v>1</v>
      </c>
      <c r="L11">
        <v>1</v>
      </c>
    </row>
    <row r="12" spans="2:12" x14ac:dyDescent="0.25">
      <c r="B12" t="s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0.83591879999999996</v>
      </c>
      <c r="K12">
        <v>1</v>
      </c>
      <c r="L12">
        <v>0</v>
      </c>
    </row>
    <row r="13" spans="2:12" x14ac:dyDescent="0.25">
      <c r="B13" t="s">
        <v>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0.16408120000000001</v>
      </c>
      <c r="K13">
        <v>0</v>
      </c>
      <c r="L13">
        <v>1</v>
      </c>
    </row>
    <row r="14" spans="2:12" x14ac:dyDescent="0.25">
      <c r="B14" t="s">
        <v>18</v>
      </c>
      <c r="C14">
        <v>-1119.3109999999999</v>
      </c>
      <c r="D14">
        <v>-1052.1279999999999</v>
      </c>
      <c r="E14">
        <v>-1120.5039999999999</v>
      </c>
      <c r="F14">
        <v>-1053.972</v>
      </c>
      <c r="G14">
        <v>-1126.5650000000001</v>
      </c>
      <c r="H14">
        <v>-1073.0550000000001</v>
      </c>
      <c r="I14">
        <v>-1224.7660000000001</v>
      </c>
      <c r="J14">
        <v>-1224.7660000000001</v>
      </c>
      <c r="K14">
        <v>-1204.732</v>
      </c>
      <c r="L14">
        <v>-1326.8340000000001</v>
      </c>
    </row>
    <row r="15" spans="2:12" x14ac:dyDescent="0.25">
      <c r="B15" t="s">
        <v>19</v>
      </c>
      <c r="C15">
        <v>-1.2320880000000001</v>
      </c>
      <c r="D15">
        <v>-1.2320880000000001</v>
      </c>
      <c r="E15">
        <v>-1.4342330000000001</v>
      </c>
      <c r="F15">
        <v>-1.4342330000000001</v>
      </c>
      <c r="G15">
        <v>-1.6484970000000001</v>
      </c>
      <c r="H15">
        <v>-1.6484970000000001</v>
      </c>
      <c r="I15">
        <v>-2.1948340000000002</v>
      </c>
      <c r="J15">
        <v>-1.878363</v>
      </c>
      <c r="K15">
        <v>-1.6984250000000001</v>
      </c>
      <c r="L15">
        <v>-2.7951199999999998</v>
      </c>
    </row>
    <row r="16" spans="2:12" x14ac:dyDescent="0.25">
      <c r="B16" t="s">
        <v>20</v>
      </c>
      <c r="C16">
        <v>0.69099279999999996</v>
      </c>
      <c r="D16">
        <v>2.4151660000000001</v>
      </c>
      <c r="E16">
        <v>3.4927630000000001</v>
      </c>
      <c r="F16">
        <v>12.164</v>
      </c>
      <c r="G16">
        <v>18.441520000000001</v>
      </c>
      <c r="H16">
        <v>52.182870000000001</v>
      </c>
      <c r="I16">
        <v>226.72300000000001</v>
      </c>
      <c r="J16">
        <v>2.1412490000000002</v>
      </c>
      <c r="K16">
        <v>1.7914300000000001</v>
      </c>
      <c r="L16">
        <v>422.65809999999999</v>
      </c>
    </row>
    <row r="17" spans="2:12" x14ac:dyDescent="0.25">
      <c r="B17" t="s">
        <v>23</v>
      </c>
      <c r="C17">
        <f>C10+273.15</f>
        <v>280</v>
      </c>
      <c r="D17">
        <f t="shared" ref="D17:L17" si="0">D10+273.15</f>
        <v>400.88049999999998</v>
      </c>
      <c r="E17">
        <f t="shared" si="0"/>
        <v>280</v>
      </c>
      <c r="F17">
        <f t="shared" si="0"/>
        <v>403.00819999999999</v>
      </c>
      <c r="G17">
        <f t="shared" si="0"/>
        <v>280</v>
      </c>
      <c r="H17">
        <f t="shared" si="0"/>
        <v>390.37909999999999</v>
      </c>
      <c r="I17">
        <f t="shared" si="0"/>
        <v>209.99999999999997</v>
      </c>
      <c r="J17">
        <f t="shared" si="0"/>
        <v>111.33819999999997</v>
      </c>
      <c r="K17">
        <f t="shared" si="0"/>
        <v>111.33639999999997</v>
      </c>
      <c r="L17">
        <f t="shared" si="0"/>
        <v>111.33639999999997</v>
      </c>
    </row>
    <row r="20" spans="2:12" x14ac:dyDescent="0.25">
      <c r="B20" t="s">
        <v>22</v>
      </c>
      <c r="C20" t="s">
        <v>21</v>
      </c>
      <c r="D20">
        <v>7.8133599999999997E-2</v>
      </c>
      <c r="E20">
        <v>7.7376399999999998E-2</v>
      </c>
      <c r="F20">
        <v>6.2232000000000003E-2</v>
      </c>
    </row>
    <row r="21" spans="2:12" x14ac:dyDescent="0.25">
      <c r="B21" t="s">
        <v>22</v>
      </c>
      <c r="C21" t="s">
        <v>24</v>
      </c>
      <c r="D21">
        <f>D20*3600</f>
        <v>281.28095999999999</v>
      </c>
      <c r="E21">
        <f t="shared" ref="E21:F21" si="1">E20*3600</f>
        <v>278.55504000000002</v>
      </c>
      <c r="F21">
        <f t="shared" si="1"/>
        <v>224.0352</v>
      </c>
      <c r="H21">
        <f>D21+E21+F21</f>
        <v>783.87120000000004</v>
      </c>
    </row>
    <row r="23" spans="2:12" x14ac:dyDescent="0.25">
      <c r="B23" t="s">
        <v>25</v>
      </c>
      <c r="C23" t="s">
        <v>26</v>
      </c>
      <c r="D23" s="1">
        <v>-6.8376100000000004E-5</v>
      </c>
      <c r="E23" s="1">
        <v>-7.2592699999999994E-5</v>
      </c>
      <c r="F23">
        <v>-1.5171100000000001E-4</v>
      </c>
    </row>
    <row r="24" spans="2:12" x14ac:dyDescent="0.25">
      <c r="C24" t="s">
        <v>24</v>
      </c>
      <c r="D24" s="2">
        <f>4.186*1000000*D23</f>
        <v>-286.22235460000002</v>
      </c>
      <c r="E24" s="3">
        <f>4.186*1000000*E23</f>
        <v>-303.87304219999999</v>
      </c>
      <c r="F24" s="3">
        <f>4.186*1000000*F23</f>
        <v>-635.06224600000007</v>
      </c>
    </row>
    <row r="29" spans="2:12" x14ac:dyDescent="0.25">
      <c r="C29" t="s">
        <v>27</v>
      </c>
      <c r="D29" t="s">
        <v>28</v>
      </c>
      <c r="E29" t="s">
        <v>31</v>
      </c>
      <c r="F29" t="s">
        <v>32</v>
      </c>
      <c r="H29" t="s">
        <v>33</v>
      </c>
      <c r="J29" t="s">
        <v>34</v>
      </c>
    </row>
    <row r="30" spans="2:12" x14ac:dyDescent="0.25">
      <c r="B30" t="s">
        <v>29</v>
      </c>
      <c r="C30">
        <v>255</v>
      </c>
      <c r="D30">
        <v>242</v>
      </c>
      <c r="E30">
        <v>225</v>
      </c>
      <c r="F30">
        <f>SUM(C30:E30)</f>
        <v>722</v>
      </c>
      <c r="H30">
        <v>0.17399999999999999</v>
      </c>
      <c r="J30">
        <f>F30/H30</f>
        <v>4149.4252873563219</v>
      </c>
    </row>
    <row r="31" spans="2:12" x14ac:dyDescent="0.25">
      <c r="B31" t="s">
        <v>30</v>
      </c>
      <c r="C31">
        <v>281</v>
      </c>
      <c r="D31">
        <v>276</v>
      </c>
      <c r="E31">
        <v>224</v>
      </c>
      <c r="F31">
        <f>SUM(C31:E31)</f>
        <v>781</v>
      </c>
      <c r="H31">
        <v>0.16400000000000001</v>
      </c>
      <c r="J31">
        <f>F31/H31</f>
        <v>4762.1951219512193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2012-09-29T22:40:01Z</dcterms:created>
  <dcterms:modified xsi:type="dcterms:W3CDTF">2012-09-29T23:21:02Z</dcterms:modified>
</cp:coreProperties>
</file>